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c A" sheetId="2" state="visible" r:id="rId4"/>
    <sheet name="Sec B" sheetId="3" state="visible" r:id="rId5"/>
    <sheet name="Sec C" sheetId="4" state="visible" r:id="rId6"/>
    <sheet name="Sec D" sheetId="5" state="visible" r:id="rId7"/>
    <sheet name="Sec E" sheetId="6" state="visible" r:id="rId8"/>
    <sheet name="Sec F" sheetId="7" state="visible" r:id="rId9"/>
    <sheet name="Sec G" sheetId="8" state="visible" r:id="rId10"/>
    <sheet name="Sec H" sheetId="9" state="visible" r:id="rId11"/>
    <sheet name="Statistics" sheetId="10" state="visible" r:id="rId12"/>
    <sheet name="Research Gaps" sheetId="11" state="visible" r:id="rId13"/>
    <sheet name="Open Questions" sheetId="12" state="visible" r:id="rId14"/>
    <sheet name="Legend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<sst xmlns="http://schemas.openxmlformats.org/spreadsheetml/2006/main" count="1313" uniqueCount="598">
  <si>
    <t xml:space="preserve">1g vs. µg Solidification — At-a-Glance Dashboard  |  All Phenomena  |  April 2026</t>
  </si>
  <si>
    <t xml:space="preserve">Section</t>
  </si>
  <si>
    <t xml:space="preserve">Phenomenon</t>
  </si>
  <si>
    <t xml:space="preserve">Effect Type</t>
  </si>
  <si>
    <t xml:space="preserve">Magnitude of Gravity Effect</t>
  </si>
  <si>
    <t xml:space="preserve">Scale
(0–10)</t>
  </si>
  <si>
    <t xml:space="preserve">Visual Bar</t>
  </si>
  <si>
    <t xml:space="preserve">Flemings Ch.</t>
  </si>
  <si>
    <t xml:space="preserve">Research Gap?</t>
  </si>
  <si>
    <t xml:space="preserve">Priority</t>
  </si>
  <si>
    <t xml:space="preserve">Key References</t>
  </si>
  <si>
    <t xml:space="preserve">A — Macrosegregation (Ch.7)</t>
  </si>
  <si>
    <t xml:space="preserve">Axial macrosegregation — Al-Si columnar</t>
  </si>
  <si>
    <t xml:space="preserve">Quantitative</t>
  </si>
  <si>
    <t xml:space="preserve">~4–6× reduction in segregation amplitude</t>
  </si>
  <si>
    <t xml:space="preserve">██████░░░░</t>
  </si>
  <si>
    <t xml:space="preserve">Ch. 7</t>
  </si>
  <si>
    <t xml:space="preserve">—</t>
  </si>
  <si>
    <t xml:space="preserve">★★ Medium</t>
  </si>
  <si>
    <t xml:space="preserve">Zhang 2024 npj Microgravity; Mehrabian/Flemings 1970</t>
  </si>
  <si>
    <t xml:space="preserve">Axial macrosegregation — Al-Cu equiaxed</t>
  </si>
  <si>
    <t xml:space="preserve">Mechanism Change</t>
  </si>
  <si>
    <t xml:space="preserve">Qualitative change — directional sign lost</t>
  </si>
  <si>
    <t xml:space="preserve">████████░░</t>
  </si>
  <si>
    <t xml:space="preserve">Potential</t>
  </si>
  <si>
    <t xml:space="preserve">★★★ High</t>
  </si>
  <si>
    <t xml:space="preserve">Zhang 2024; Chen 2025 JOM</t>
  </si>
  <si>
    <t xml:space="preserve">Radial macrosegregation (Al-20Cu Bridgman)</t>
  </si>
  <si>
    <t xml:space="preserve">~3–4× reduction</t>
  </si>
  <si>
    <t xml:space="preserve">█████░░░░░</t>
  </si>
  <si>
    <t xml:space="preserve">Spinella 2024 Materialia; Williams 2022 MMTA</t>
  </si>
  <si>
    <t xml:space="preserve">Inverse (shrinkage-driven) segregation</t>
  </si>
  <si>
    <t xml:space="preserve">Equivalent</t>
  </si>
  <si>
    <t xml:space="preserve">Equivalent in both regimes</t>
  </si>
  <si>
    <t xml:space="preserve">██░░░░░░░░</t>
  </si>
  <si>
    <t xml:space="preserve">★ Low</t>
  </si>
  <si>
    <t xml:space="preserve">Zhang 2024; Mirihanage 2023 npj Microgravity</t>
  </si>
  <si>
    <t xml:space="preserve">Channel / freckle segregation</t>
  </si>
  <si>
    <t xml:space="preserve">New Phenomenon</t>
  </si>
  <si>
    <t xml:space="preserve">Critical Ra → ∞; phenomenon eliminated</t>
  </si>
  <si>
    <t xml:space="preserve">██████████</t>
  </si>
  <si>
    <t xml:space="preserve">Mehrabian/Flemings 1970; CETSOL/MICAST; Zhang 2024</t>
  </si>
  <si>
    <t xml:space="preserve">Interdendritic flow driver</t>
  </si>
  <si>
    <t xml:space="preserve">Buoyancy term fully eliminated; physics simplified</t>
  </si>
  <si>
    <t xml:space="preserve">Simpson &amp; Kou 1984; Ganesan &amp; Poirier 1990</t>
  </si>
  <si>
    <t xml:space="preserve">Solute redistribution mechanism</t>
  </si>
  <si>
    <t xml:space="preserve">Transport mode switch: convective → diffusive</t>
  </si>
  <si>
    <t xml:space="preserve">█████████░</t>
  </si>
  <si>
    <t xml:space="preserve">Thi 2005 J. Cryst. Growth; Stelian 2005</t>
  </si>
  <si>
    <t xml:space="preserve">Freezing-shrinkage / surface morphology</t>
  </si>
  <si>
    <t xml:space="preserve">New morphology class accessible only in µg</t>
  </si>
  <si>
    <t xml:space="preserve">Wang 2024 Adv. Mater. doi:10.1002/adma.202313162</t>
  </si>
  <si>
    <t xml:space="preserve">B — Dendritic (Ch.3,5)</t>
  </si>
  <si>
    <t xml:space="preserve">Secondary dendrite arm spacing SDAS (Al-7Si matched pair)</t>
  </si>
  <si>
    <t xml:space="preserve">~30% finer in µg (coarsening suppressed)</t>
  </si>
  <si>
    <t xml:space="preserve">███░░░░░░░</t>
  </si>
  <si>
    <t xml:space="preserve">Ch. 3, 5</t>
  </si>
  <si>
    <t xml:space="preserve">Zhang 2024 npj Microgravity; Roósz 2022 Crystals</t>
  </si>
  <si>
    <t xml:space="preserve">Primary dendrite arm spacing PDAS</t>
  </si>
  <si>
    <t xml:space="preserve">Histogram tightening; scatter reduced ~50%</t>
  </si>
  <si>
    <t xml:space="preserve">████░░░░░░</t>
  </si>
  <si>
    <t xml:space="preserve">Williams 2022 MMTA; Ngomesse 2021 Acta Mat.</t>
  </si>
  <si>
    <t xml:space="preserve">Equiaxed grain size (Al-Cu, grain-refined)</t>
  </si>
  <si>
    <t xml:space="preserve">~2–3× finer grains</t>
  </si>
  <si>
    <t xml:space="preserve">Zimmermann 2024 Materialia; Williams 2022</t>
  </si>
  <si>
    <t xml:space="preserve">Columnar-to-Equiaxed Transition (CET) position</t>
  </si>
  <si>
    <t xml:space="preserve">CET position shifts from ~30% → &gt;90% solidified</t>
  </si>
  <si>
    <t xml:space="preserve">Mirihanage 2023 npj Microgravity; Ngomesse 2021</t>
  </si>
  <si>
    <t xml:space="preserve">CET blocking mechanism</t>
  </si>
  <si>
    <t xml:space="preserve">Mechanism shift — different physics entirely</t>
  </si>
  <si>
    <t xml:space="preserve">███████░░░</t>
  </si>
  <si>
    <t xml:space="preserve">Ngomesse 2021 (MASER-14 X-ray in situ)</t>
  </si>
  <si>
    <t xml:space="preserve">CET onset under g-jitter</t>
  </si>
  <si>
    <t xml:space="preserve">Methodology Advance</t>
  </si>
  <si>
    <t xml:space="preserve">Threshold bound established: &lt;0.04g benign</t>
  </si>
  <si>
    <t xml:space="preserve">Geng 2025 IOP Conf. Ser.</t>
  </si>
  <si>
    <t xml:space="preserve">Dendrite tip velocity V(ΔT) in SCN</t>
  </si>
  <si>
    <t xml:space="preserve">20-year IDGE gap resolved in µg</t>
  </si>
  <si>
    <t xml:space="preserve">Glicksman 1994–99 IDGE; Alexandrov 2026 Acta Mat.</t>
  </si>
  <si>
    <t xml:space="preserve">Equiaxed nucleation dynamics</t>
  </si>
  <si>
    <t xml:space="preserve">Qualitative change in nucleation mode</t>
  </si>
  <si>
    <t xml:space="preserve">Becker 2023 MMTA doi:10.1007/s11661-023-07092-0</t>
  </si>
  <si>
    <t xml:space="preserve">Dendritic growth velocity (Al-Cu/Ge isothermal)</t>
  </si>
  <si>
    <t xml:space="preserve">No significant gravity effect at low ΔT</t>
  </si>
  <si>
    <t xml:space="preserve">█░░░░░░░░░</t>
  </si>
  <si>
    <t xml:space="preserve">Becker 2023 MMTA</t>
  </si>
  <si>
    <t xml:space="preserve">Fragment density / sedimentation (Al-7Si 3D)</t>
  </si>
  <si>
    <t xml:space="preserve">Mechanism change; sedimentation eliminated</t>
  </si>
  <si>
    <t xml:space="preserve">Abou-Khalil 2023 Acta Mat.</t>
  </si>
  <si>
    <t xml:space="preserve">Phase-field model accuracy (primary spacing)</t>
  </si>
  <si>
    <t xml:space="preserve">Model accuracy improved 3–6× using µg benchmark</t>
  </si>
  <si>
    <t xml:space="preserve">Tian 2026; Medjkoune 2025 Acta Mat.</t>
  </si>
  <si>
    <t xml:space="preserve">3D dendritic array stability benchmark</t>
  </si>
  <si>
    <t xml:space="preserve">New quantitative regime opened</t>
  </si>
  <si>
    <t xml:space="preserve">Medjkoune 2025 Acta Mat. doi:10.1016/j.actamat.2025.120954</t>
  </si>
  <si>
    <t xml:space="preserve">C — Eutectic/Immiscible (Ch.4,6)</t>
  </si>
  <si>
    <t xml:space="preserve">Jackson-Hunt λ²V = K (2D lamellar eutectic)</t>
  </si>
  <si>
    <t xml:space="preserve">2D J-H confirmed in µg; convection error ~10–20%</t>
  </si>
  <si>
    <t xml:space="preserve">Ch. 4, 6</t>
  </si>
  <si>
    <t xml:space="preserve">Xu 2024 Intermetallics; Cao 2025 Materials</t>
  </si>
  <si>
    <t xml:space="preserve">3D anisotropy-driven eutectic grain morphology</t>
  </si>
  <si>
    <t xml:space="preserve">New morphology class inaccessible on ground</t>
  </si>
  <si>
    <t xml:space="preserve">Mohagheghi 2024 MMTA</t>
  </si>
  <si>
    <t xml:space="preserve">Oscillatory / locked eutectic colonies</t>
  </si>
  <si>
    <t xml:space="preserve">Weak convection &gt;1 µm/s suppresses on ground</t>
  </si>
  <si>
    <t xml:space="preserve">Akamatsu 2023 npj Microgravity</t>
  </si>
  <si>
    <t xml:space="preserve">Peritectic coupled growth wavelength selection</t>
  </si>
  <si>
    <t xml:space="preserve">Quantitative mechanistic prediction now possible</t>
  </si>
  <si>
    <t xml:space="preserve">Rátkai 2024 Acta Mat.; Ludwig 2022 ISS</t>
  </si>
  <si>
    <t xml:space="preserve">Coupled vs. divorced eutectic (Fe-19Si)</t>
  </si>
  <si>
    <t xml:space="preserve">Morphology switch: divorced ↔ coupled</t>
  </si>
  <si>
    <t xml:space="preserve">Hu 2025 Rev. Mater. Res.</t>
  </si>
  <si>
    <t xml:space="preserve">Eutectic undercooling achieved (Zr-V refractory)</t>
  </si>
  <si>
    <t xml:space="preserve">~3–8× deeper undercooling accessible</t>
  </si>
  <si>
    <t xml:space="preserve">Wang 2024 Phys. Fluids 36, 042110</t>
  </si>
  <si>
    <t xml:space="preserve">Spiral / Marangoni-wave coupled eutectic growth</t>
  </si>
  <si>
    <t xml:space="preserve">New pattern class — inaccessible on ground</t>
  </si>
  <si>
    <t xml:space="preserve">Wang 2024 Phys. Fluids; Liao 2025 Adv. Mater.</t>
  </si>
  <si>
    <t xml:space="preserve">Monotectic droplet separation (Al-Bi, Fe-Cu)</t>
  </si>
  <si>
    <t xml:space="preserve">Sedimentation eliminated; droplet size ~100× smaller</t>
  </si>
  <si>
    <t xml:space="preserve">Jiang 2020; Uporov 2024 Intermetallics</t>
  </si>
  <si>
    <t xml:space="preserve">Core-shell immiscible microsphere formation</t>
  </si>
  <si>
    <t xml:space="preserve">Mechanism isolated — Marangoni sufficient alone</t>
  </si>
  <si>
    <t xml:space="preserve">Chen 2024 JMPT; Wang Li 2019</t>
  </si>
  <si>
    <t xml:space="preserve">Anomalous eutectic at velocity transitions (Ni-Sn)</t>
  </si>
  <si>
    <t xml:space="preserve">Transient state now fully observable</t>
  </si>
  <si>
    <t xml:space="preserve">Cao 2025 Materials</t>
  </si>
  <si>
    <t xml:space="preserve">D — Nucleation (Ch.9)</t>
  </si>
  <si>
    <t xml:space="preserve">Max undercooling — Nb-Si eutectic (CSS)</t>
  </si>
  <si>
    <t xml:space="preserve">~2.5× deeper; approaches 0.2 T_L homogeneous limit</t>
  </si>
  <si>
    <t xml:space="preserve">Ch. 9</t>
  </si>
  <si>
    <t xml:space="preserve">Wang 2024 Angew. Chem. doi:10.1002/ange.202313165</t>
  </si>
  <si>
    <t xml:space="preserve">Max undercooling — Nb₈₄.₁Si₁₅.₉</t>
  </si>
  <si>
    <t xml:space="preserve">~4× deeper</t>
  </si>
  <si>
    <t xml:space="preserve">Chang 2024 Rev. Sci. Instrum. 95, 095103</t>
  </si>
  <si>
    <t xml:space="preserve">Max undercooling — Zr-Ni-Al-Nb BMG</t>
  </si>
  <si>
    <t xml:space="preserve">Metastable amorphization accessible — new state</t>
  </si>
  <si>
    <t xml:space="preserve">2025 MMTA doi:10.1007/s11661-025-07887-1</t>
  </si>
  <si>
    <t xml:space="preserve">Undercooling record — Zr₆₄V₃₆ (refractory)</t>
  </si>
  <si>
    <t xml:space="preserve">Previously inaccessible state</t>
  </si>
  <si>
    <t xml:space="preserve">Wang 2024 Phys. Fluids</t>
  </si>
  <si>
    <t xml:space="preserve">Nucleation kinetics under stirring (Zr₈₀Pt₂₀)</t>
  </si>
  <si>
    <t xml:space="preserve">Opposite trend to ground intuition — qualitative reversal</t>
  </si>
  <si>
    <t xml:space="preserve">Gangopadhyay 2025 J. Chem. Phys. 162, 134502</t>
  </si>
  <si>
    <t xml:space="preserve">Metastable phase selection (Fe-Cr-Ni)</t>
  </si>
  <si>
    <t xml:space="preserve">Phase-selection pathway altered</t>
  </si>
  <si>
    <t xml:space="preserve">Herlach 1997 (revived 2024 ISS-EML); Hasan &amp; Choudhuri 2025</t>
  </si>
  <si>
    <t xml:space="preserve">Recalescence velocity V(ΔT) curve shape</t>
  </si>
  <si>
    <t xml:space="preserve">Full kinetics quantifiable for first time</t>
  </si>
  <si>
    <t xml:space="preserve">Alexandrov 2025 Math. Methods Appl. Sci.</t>
  </si>
  <si>
    <t xml:space="preserve">Interface response function</t>
  </si>
  <si>
    <t xml:space="preserve">New methodology — data previously inaccessible</t>
  </si>
  <si>
    <t xml:space="preserve">Jin 2024 Acta Phys. Sin.; Wang 2024 Adv. Mater.</t>
  </si>
  <si>
    <t xml:space="preserve">Container-wall heterogeneous nucleation</t>
  </si>
  <si>
    <t xml:space="preserve">Qualitative removal of dominant nucleation pathway</t>
  </si>
  <si>
    <t xml:space="preserve">Herlach 1993, 2007, 2010 (series)</t>
  </si>
  <si>
    <t xml:space="preserve">Burst vs. continuous nucleation geometry</t>
  </si>
  <si>
    <t xml:space="preserve">E — Thermophysical (Ch.1,2,8)</t>
  </si>
  <si>
    <t xml:space="preserve">BPS solute boundary layer (Al-1.5Ni plane front)</t>
  </si>
  <si>
    <t xml:space="preserve">Analytic diffusion theory validated quantitatively</t>
  </si>
  <si>
    <t xml:space="preserve">Ch. 1, 2, 8</t>
  </si>
  <si>
    <t xml:space="preserve">Thi 2005 J. Crystal Growth</t>
  </si>
  <si>
    <t xml:space="preserve">g-jitter effect on BPS boundary layer</t>
  </si>
  <si>
    <t xml:space="preserve">New g-jitter sensitivity regime characterized</t>
  </si>
  <si>
    <t xml:space="preserve">Stelian 2005 J. Cryst. Growth</t>
  </si>
  <si>
    <t xml:space="preserve">Liquid density measurement uncertainty</t>
  </si>
  <si>
    <t xml:space="preserve">~5–10× improvement in precision</t>
  </si>
  <si>
    <t xml:space="preserve">Au 2023; rare-earth titanate 2024; Vit106a 2026 npj Microgravity</t>
  </si>
  <si>
    <t xml:space="preserve">Liquid surface tension uncertainty</t>
  </si>
  <si>
    <t xml:space="preserve">~3–10× improvement</t>
  </si>
  <si>
    <t xml:space="preserve">Au 2023; Mohr ISS-EML Part III</t>
  </si>
  <si>
    <t xml:space="preserve">Liquid viscosity uncertainty</t>
  </si>
  <si>
    <t xml:space="preserve">~3–5× improvement</t>
  </si>
  <si>
    <t xml:space="preserve">Au 2023; Vit106a 2026 npj Microgravity</t>
  </si>
  <si>
    <t xml:space="preserve">Cross-platform validation (ISS vs. CSS)</t>
  </si>
  <si>
    <t xml:space="preserve">Persistent Gap</t>
  </si>
  <si>
    <t xml:space="preserve">Open gap — no cross-validation exists as of 2026</t>
  </si>
  <si>
    <t xml:space="preserve">░░░░░░░░░░</t>
  </si>
  <si>
    <t xml:space="preserve">YES</t>
  </si>
  <si>
    <t xml:space="preserve">CSS dataset Liu 2025/26 Sci. Data; Brillo 2024 (ground only)</t>
  </si>
  <si>
    <t xml:space="preserve">Evaporation mass loss during EML (FeCrNi)</t>
  </si>
  <si>
    <t xml:space="preserve">Mass-loss model confirmed — uncertainty resolved</t>
  </si>
  <si>
    <t xml:space="preserve">npj Microgravity 2024 doi:10.1038/s41526-024-00416-1</t>
  </si>
  <si>
    <t xml:space="preserve">Specific heat / emissivity of BMGs</t>
  </si>
  <si>
    <t xml:space="preserve">New benchmark class — first containerless BMG property set</t>
  </si>
  <si>
    <t xml:space="preserve">Vit106a 2026 npj Microgravity doi:10.1038/s41526-026-00572-6</t>
  </si>
  <si>
    <t xml:space="preserve">F — Semiconductors (Ch.2,9)</t>
  </si>
  <si>
    <t xml:space="preserve">Crystal detachment from crucible wall</t>
  </si>
  <si>
    <t xml:space="preserve">Qualitative change — mechanism reversed</t>
  </si>
  <si>
    <t xml:space="preserve">Ch. 2, 9</t>
  </si>
  <si>
    <t xml:space="preserve">Duffar 1990 J. Cryst. Growth; Regel &amp; Wilcox 1998</t>
  </si>
  <si>
    <t xml:space="preserve">Dewetting angle criterion</t>
  </si>
  <si>
    <t xml:space="preserve">Clean mechanism isolation — capillarity alone sufficient</t>
  </si>
  <si>
    <t xml:space="preserve">Duffar 1990; Cröll 2009 MRS Bulletin</t>
  </si>
  <si>
    <t xml:space="preserve">Dislocation density (GeSi, GaSb — historical)</t>
  </si>
  <si>
    <t xml:space="preserve">1–1.5 orders of magnitude improvement</t>
  </si>
  <si>
    <t xml:space="preserve">Regel &amp; Wilcox 1998; Volz ISS GeSi</t>
  </si>
  <si>
    <t xml:space="preserve">Dislocation density — InAsSb CSS 2026</t>
  </si>
  <si>
    <t xml:space="preserve">1 order of magnitude — recent confirmation</t>
  </si>
  <si>
    <t xml:space="preserve">npj Microgravity 2026 doi:10.1038/s41526-026-00581-5</t>
  </si>
  <si>
    <t xml:space="preserve">Compositional uniformity (InAsSb CSS)</t>
  </si>
  <si>
    <t xml:space="preserve">Near-uniform — composition control qualitatively improved</t>
  </si>
  <si>
    <t xml:space="preserve">npj Microgravity 2026</t>
  </si>
  <si>
    <t xml:space="preserve">Stacking-fault elimination (InSe CSS)</t>
  </si>
  <si>
    <t xml:space="preserve">Qualitative property unlock — new physics accessible</t>
  </si>
  <si>
    <t xml:space="preserve">Nature Commun. 2026 doi:10.1038/s41467-026-70520-1</t>
  </si>
  <si>
    <t xml:space="preserve">Semiconductor quality meta-baseline (160 crystals)</t>
  </si>
  <si>
    <t xml:space="preserve">Strong overall benefit confirmed quantitatively</t>
  </si>
  <si>
    <t xml:space="preserve">Vincent 2024 npj Microgravity doi:10.1038/s41526-024-00410-7</t>
  </si>
  <si>
    <t xml:space="preserve">High-field (10 T) Bridgman as µg analog</t>
  </si>
  <si>
    <t xml:space="preserve">Ground approximation: achieves ~35% not ~90–99% of µg benefit</t>
  </si>
  <si>
    <t xml:space="preserve">2026 AIP Scilight (unverified peer-reviewed)</t>
  </si>
  <si>
    <t xml:space="preserve">G — Porosity/AM (Ch.10)</t>
  </si>
  <si>
    <t xml:space="preserve">Gas bubble buoyant escape</t>
  </si>
  <si>
    <t xml:space="preserve">Mechanism change: buoyancy → Marangoni only</t>
  </si>
  <si>
    <t xml:space="preserve">Ch. 10</t>
  </si>
  <si>
    <t xml:space="preserve">µg porosity literature; Nat. Commun. 2024 pore evolution</t>
  </si>
  <si>
    <t xml:space="preserve">AM DED pore retention (metallic glass)</t>
  </si>
  <si>
    <t xml:space="preserve">Modestly higher pore retention in µg (+4–8% vol)</t>
  </si>
  <si>
    <t xml:space="preserve">Progress in Additive Manufacturing 2025</t>
  </si>
  <si>
    <t xml:space="preserve">Marangoni-driven bubble motion</t>
  </si>
  <si>
    <t xml:space="preserve">Quantitative mechanism now explicit</t>
  </si>
  <si>
    <t xml:space="preserve">Nat. Commun. 2024 doi:10.1038/s41467-024-45913-9</t>
  </si>
  <si>
    <t xml:space="preserve">µg → AM defect-mitigation bridge</t>
  </si>
  <si>
    <t xml:space="preserve">Open linkage — key research gap</t>
  </si>
  <si>
    <t xml:space="preserve">Adv. Eng. Materials 2025 review adem.202501082</t>
  </si>
  <si>
    <t xml:space="preserve">H — Mech. Props. (Ch.10)</t>
  </si>
  <si>
    <t xml:space="preserve">Tensile strength of ISS/CSS-solidified alloys</t>
  </si>
  <si>
    <t xml:space="preserve">Gap remains — strongest PhD-thesis lever</t>
  </si>
  <si>
    <t xml:space="preserve">— (open gap)</t>
  </si>
  <si>
    <t xml:space="preserve">Fatigue / creep of µg-solidified alloys</t>
  </si>
  <si>
    <t xml:space="preserve">Gap remains</t>
  </si>
  <si>
    <t xml:space="preserve">Hardness / microindentation</t>
  </si>
  <si>
    <t xml:space="preserve">Under-populated — few data points</t>
  </si>
  <si>
    <t xml:space="preserve">Ruan 2017 Acta Mat.; Hu 2025 Fe-19Si</t>
  </si>
  <si>
    <t xml:space="preserve">Semiconductor carrier mobility (µg vs 1g)</t>
  </si>
  <si>
    <t xml:space="preserve">Consistent improvement — aggregate only</t>
  </si>
  <si>
    <t xml:space="preserve">Vincent 2024 npj Microgravity</t>
  </si>
  <si>
    <t xml:space="preserve">InSe piezo/ferroelectric response (CSS)</t>
  </si>
  <si>
    <t xml:space="preserve">Qualitative property unlock — functional material enabled</t>
  </si>
  <si>
    <t xml:space="preserve">Nat. Commun. 2026 doi:10.1038/s41467-026-70520-1</t>
  </si>
  <si>
    <t xml:space="preserve">Grain-size vs. cooling-rate anomaly (Fe-19Si)</t>
  </si>
  <si>
    <t xml:space="preserve">Counter-intuitive — unresolved mechanistic question</t>
  </si>
  <si>
    <t xml:space="preserve">A — Fluid Flow, Convection &amp; Macrosegregation (Flemings Ch. 7)</t>
  </si>
  <si>
    <t xml:space="preserve">#</t>
  </si>
  <si>
    <t xml:space="preserve">1g Prediction / Observation</t>
  </si>
  <si>
    <t xml:space="preserve">µg Observation</t>
  </si>
  <si>
    <t xml:space="preserve">Scale (0–10)</t>
  </si>
  <si>
    <t xml:space="preserve">A1</t>
  </si>
  <si>
    <t xml:space="preserve">Si enriches upward +20–30%; density-driven solutal buoyancy</t>
  </si>
  <si>
    <t xml:space="preserve">±5% flat diffusive profile</t>
  </si>
  <si>
    <t xml:space="preserve">A2</t>
  </si>
  <si>
    <t xml:space="preserve">Cu enriches downward (heavy Cu sinks); strong gradient</t>
  </si>
  <si>
    <t xml:space="preserve">"Almost disappears" — essentially uniform</t>
  </si>
  <si>
    <t xml:space="preserve">A3</t>
  </si>
  <si>
    <t xml:space="preserve">~15–20% radial segregation amplitude</t>
  </si>
  <si>
    <t xml:space="preserve">&lt;5% radial (near-diffusive)</t>
  </si>
  <si>
    <t xml:space="preserve">A4</t>
  </si>
  <si>
    <t xml:space="preserve">Present at chill face — shrinkage + buoyancy driven</t>
  </si>
  <si>
    <t xml:space="preserve">Still present — gravity-independent</t>
  </si>
  <si>
    <t xml:space="preserve">A5</t>
  </si>
  <si>
    <t xml:space="preserve">Present above Ra_cr ≈ 0.25–46 (geometry-dependent)</t>
  </si>
  <si>
    <t xml:space="preserve">Not observed in any µg Ni-superalloy or Al-Cu trial</t>
  </si>
  <si>
    <t xml:space="preserve">A6</t>
  </si>
  <si>
    <t xml:space="preserve">Buoyancy (thermosolutal) + shrinkage — buoyancy dominant</t>
  </si>
  <si>
    <t xml:space="preserve">Shrinkage only — buoyancy eliminated</t>
  </si>
  <si>
    <t xml:space="preserve">A7</t>
  </si>
  <si>
    <t xml:space="preserve">Convective bulk mixing; Scheil-like profiles</t>
  </si>
  <si>
    <t xml:space="preserve">Purely diffusive — BPS/Tiller theory validated</t>
  </si>
  <si>
    <t xml:space="preserve">A8</t>
  </si>
  <si>
    <t xml:space="preserve">Masked by buoyancy-driven flow; smooth surface collapse</t>
  </si>
  <si>
    <t xml:space="preserve">Wrinkled &amp; spiral shrinkage patterns (refractory droplets)</t>
  </si>
  <si>
    <t xml:space="preserve">Section A: 8 phenomena  |  High-effect (scale ≥7): 5  |  Gaps/Missing: 0</t>
  </si>
  <si>
    <t xml:space="preserve">B — Dendritic &amp; Cellular Solidification (Flemings Ch. 3, 5)</t>
  </si>
  <si>
    <t xml:space="preserve">B1</t>
  </si>
  <si>
    <t xml:space="preserve">150–250 µm (convection enhances coarsening)</t>
  </si>
  <si>
    <t xml:space="preserve">120–180 µm — finer, narrower distribution</t>
  </si>
  <si>
    <t xml:space="preserve">B2</t>
  </si>
  <si>
    <t xml:space="preserve">Convection-broadened; wide scatter; histogram skewed</t>
  </si>
  <si>
    <t xml:space="preserve">Narrower, tighter distribution — diffusion-controlled</t>
  </si>
  <si>
    <t xml:space="preserve">B3</t>
  </si>
  <si>
    <t xml:space="preserve">200–500 µm (sedimenting grains coarsen)</t>
  </si>
  <si>
    <t xml:space="preserve">100–300 µm (3× finer vs. non-refined µg controls)</t>
  </si>
  <si>
    <t xml:space="preserve">B4</t>
  </si>
  <si>
    <t xml:space="preserve">~30% solidified — occurs early; strong solutal blocking</t>
  </si>
  <si>
    <t xml:space="preserve">Absent or &gt;90% solidified — largely suppressed</t>
  </si>
  <si>
    <t xml:space="preserve">B5</t>
  </si>
  <si>
    <t xml:space="preserve">Solutal blocking dominant (convection sweeps ahead)</t>
  </si>
  <si>
    <t xml:space="preserve">Mechanical/shrinkage-flow blocking (no solutal sweep)</t>
  </si>
  <si>
    <t xml:space="preserve">B6</t>
  </si>
  <si>
    <t xml:space="preserve">N/A (fixed 1g)</t>
  </si>
  <si>
    <t xml:space="preserve">Negligible up to ±0.04g; first empirical threshold</t>
  </si>
  <si>
    <t xml:space="preserve">B7</t>
  </si>
  <si>
    <t xml:space="preserve">Convection-enhanced; +20% excess over LGK</t>
  </si>
  <si>
    <t xml:space="preserve">LGK + non-paraboloid tip + 0.2R integration → within scatter</t>
  </si>
  <si>
    <t xml:space="preserve">B8</t>
  </si>
  <si>
    <t xml:space="preserve">Continuous, spatially scattered — convection samples sites</t>
  </si>
  <si>
    <t xml:space="preserve">Burst-like, simultaneous — uniform solute field</t>
  </si>
  <si>
    <t xml:space="preserve">B9</t>
  </si>
  <si>
    <t xml:space="preserve">≈8 µm/s at same ΔT</t>
  </si>
  <si>
    <t xml:space="preserve">≈8 µm/s — identical</t>
  </si>
  <si>
    <t xml:space="preserve">B10</t>
  </si>
  <si>
    <t xml:space="preserve">Sedimentation-dependent; fragments settle and coarsen</t>
  </si>
  <si>
    <t xml:space="preserve">Misorientation-driven only — no sedimentation</t>
  </si>
  <si>
    <t xml:space="preserve">B11</t>
  </si>
  <si>
    <t xml:space="preserve">&gt;30% discrepancy pre-2020 (convection confounds data)</t>
  </si>
  <si>
    <t xml:space="preserve">5–10% with GPU phase-field vs. DECLIC-DSI µg data</t>
  </si>
  <si>
    <t xml:space="preserve">B12</t>
  </si>
  <si>
    <t xml:space="preserve">Largely untested (2D proxies; convection distorts)</t>
  </si>
  <si>
    <t xml:space="preserve">3D benchmark established (DECLIC-DSI)</t>
  </si>
  <si>
    <t xml:space="preserve">Section B: 12 phenomena  |  High-effect (scale ≥7): 5  |  Gaps/Missing: 0</t>
  </si>
  <si>
    <t xml:space="preserve">C — Eutectic, Peritectic &amp; Immiscible (Flemings Ch. 4, 6)</t>
  </si>
  <si>
    <t xml:space="preserve">C1</t>
  </si>
  <si>
    <t xml:space="preserve">n ≈ 0.5 (ideal); convection masks deviations</t>
  </si>
  <si>
    <t xml:space="preserve">n = 0.484 (HEA Al₀.₉CoCrNi₂.₁); 3→0.4 µm across 0.1–2000 µm/s</t>
  </si>
  <si>
    <t xml:space="preserve">C2</t>
  </si>
  <si>
    <t xml:space="preserve">Isotropic J-H in 2D; 3D morphology unresolved</t>
  </si>
  <si>
    <t xml:space="preserve">"Laminated Matrix with Rods" (LMR) — new morphology</t>
  </si>
  <si>
    <t xml:space="preserve">C3</t>
  </si>
  <si>
    <t xml:space="preserve">Damped by weak convection (~1 µm/s is enough)</t>
  </si>
  <si>
    <t xml:space="preserve">Persistent, clearly observable — instability revealed</t>
  </si>
  <si>
    <t xml:space="preserve">C4</t>
  </si>
  <si>
    <t xml:space="preserve">Qualitatively reported (TRIS-NPG ISS); mechanism unclear</t>
  </si>
  <si>
    <t xml:space="preserve">Phase-field matches µg; lamellar↔rod via composition</t>
  </si>
  <si>
    <t xml:space="preserve">C5</t>
  </si>
  <si>
    <t xml:space="preserve">Divorced (convection redistributes solute)</t>
  </si>
  <si>
    <t xml:space="preserve">Coupled (diffusion-limited, pattern maintained)</t>
  </si>
  <si>
    <t xml:space="preserve">C6</t>
  </si>
  <si>
    <t xml:space="preserve">Ground ~30–80 K (container + sedimentation limit)</t>
  </si>
  <si>
    <t xml:space="preserve">253 K with spiral eutectic (CSS)</t>
  </si>
  <si>
    <t xml:space="preserve">C7</t>
  </si>
  <si>
    <t xml:space="preserve">Not observed (buoyancy overrides Marangoni)</t>
  </si>
  <si>
    <t xml:space="preserve">Present in CSS refractory droplets</t>
  </si>
  <si>
    <t xml:space="preserve">C8</t>
  </si>
  <si>
    <t xml:space="preserve">Stokes sedimentation dominates — macro-phase separation</t>
  </si>
  <si>
    <t xml:space="preserve">Marangoni-only; dispersed droplets 1–2 µm</t>
  </si>
  <si>
    <t xml:space="preserve">C9</t>
  </si>
  <si>
    <t xml:space="preserve">Requires forced stabilization (field/spinning)</t>
  </si>
  <si>
    <t xml:space="preserve">Natural outcome driven by Marangoni flow</t>
  </si>
  <si>
    <t xml:space="preserve">C10</t>
  </si>
  <si>
    <t xml:space="preserve">Transient — obscured by convection on ground</t>
  </si>
  <si>
    <t xml:space="preserve">Clearly resolved in µg; onset parameters measurable</t>
  </si>
  <si>
    <t xml:space="preserve">Section C: 10 phenomena  |  High-effect (scale ≥7): 7  |  Gaps/Missing: 0</t>
  </si>
  <si>
    <t xml:space="preserve">D — Nucleation, Undercooling &amp; Interface Kinetics (Flemings Ch. 9)</t>
  </si>
  <si>
    <t xml:space="preserve">D1</t>
  </si>
  <si>
    <t xml:space="preserve">Ground levitator ~100–180 K</t>
  </si>
  <si>
    <t xml:space="preserve">437 K (CSS-ESL)</t>
  </si>
  <si>
    <t xml:space="preserve">D2</t>
  </si>
  <si>
    <t xml:space="preserve">~100 K (ground EML)</t>
  </si>
  <si>
    <t xml:space="preserve">421 K (0.18 T_L)</t>
  </si>
  <si>
    <t xml:space="preserve">D3</t>
  </si>
  <si>
    <t xml:space="preserve">Ground-limited by container nucleation</t>
  </si>
  <si>
    <t xml:space="preserve">274 K → 83% amorphous phase fraction</t>
  </si>
  <si>
    <t xml:space="preserve">D4</t>
  </si>
  <si>
    <t xml:space="preserve">N/A — not achievable on ground</t>
  </si>
  <si>
    <t xml:space="preserve">253 K + spiral eutectic pattern</t>
  </si>
  <si>
    <t xml:space="preserve">D5</t>
  </si>
  <si>
    <t xml:space="preserve">Convection accelerates nucleation (more site sampling)</t>
  </si>
  <si>
    <t xml:space="preserve">RF stirring slows nucleation — first µg evidence for CFM</t>
  </si>
  <si>
    <t xml:space="preserve">D6</t>
  </si>
  <si>
    <t xml:space="preserve">FCC dominant at typical undercoolings</t>
  </si>
  <si>
    <t xml:space="preserve">BCC selected under deep undercooling (µg enables)</t>
  </si>
  <si>
    <t xml:space="preserve">D7</t>
  </si>
  <si>
    <t xml:space="preserve">Often unresolved at high ΔT (convection mixing)</t>
  </si>
  <si>
    <t xml:space="preserve">U-shaped V(ΔT) curve resolved (Zr-Ni-Al; Al-Ni ISS-EML)</t>
  </si>
  <si>
    <t xml:space="preserve">D8</t>
  </si>
  <si>
    <t xml:space="preserve">Rarely measured in deep undercooling regime</t>
  </si>
  <si>
    <t xml:space="preserve">Becoming quantifiable on CSS (refractory alloys)</t>
  </si>
  <si>
    <t xml:space="preserve">D9</t>
  </si>
  <si>
    <t xml:space="preserve">Dominant in 1g crucibles — limits ΔT to ~50–100 K</t>
  </si>
  <si>
    <t xml:space="preserve">Eliminated (containerless EML/ESL)</t>
  </si>
  <si>
    <t xml:space="preserve">D10</t>
  </si>
  <si>
    <t xml:space="preserve">Continuous, spatially scattered</t>
  </si>
  <si>
    <t xml:space="preserve">Burst, simultaneous — uniform solute field</t>
  </si>
  <si>
    <t xml:space="preserve">Section D: 10 phenomena  |  High-effect (scale ≥7): 10  |  Gaps/Missing: 0</t>
  </si>
  <si>
    <t xml:space="preserve">E — Thermophysical Properties, Heat Flow &amp; Plane-Front (Flemings Ch. 1, 2, 8)</t>
  </si>
  <si>
    <t xml:space="preserve">E1</t>
  </si>
  <si>
    <t xml:space="preserve">Convection-reduced boundary layer; theory over-predicts</t>
  </si>
  <si>
    <t xml:space="preserve">Full BPS analytic profile recovered</t>
  </si>
  <si>
    <t xml:space="preserve">E2</t>
  </si>
  <si>
    <t xml:space="preserve">N/A (steady 1g)</t>
  </si>
  <si>
    <t xml:space="preserve">Sensitive below 10⁻² Hz — periodic destabilization</t>
  </si>
  <si>
    <t xml:space="preserve">E3</t>
  </si>
  <si>
    <t xml:space="preserve">5–10% (ground EML; convection distorts shape)</t>
  </si>
  <si>
    <t xml:space="preserve">±0.4–1% (ISS-EML/ELF)</t>
  </si>
  <si>
    <t xml:space="preserve">E4</t>
  </si>
  <si>
    <t xml:space="preserve">3–8% (ground)</t>
  </si>
  <si>
    <t xml:space="preserve">±0.6–2% (ISS-EML)</t>
  </si>
  <si>
    <t xml:space="preserve">E5</t>
  </si>
  <si>
    <t xml:space="preserve">5–15% (ground; natural convection interferes)</t>
  </si>
  <si>
    <t xml:space="preserve">±1.9% (Au); Vogel-Fulcher fit for BMGs</t>
  </si>
  <si>
    <t xml:space="preserve">E6</t>
  </si>
  <si>
    <t xml:space="preserve">N/A</t>
  </si>
  <si>
    <t xml:space="preserve">NOT YET PERFORMED — systematic comparison missing</t>
  </si>
  <si>
    <t xml:space="preserve">E7</t>
  </si>
  <si>
    <t xml:space="preserve">Modeled with wide uncertainty</t>
  </si>
  <si>
    <t xml:space="preserve">Validated via post-flight SEM-EDX in three labs</t>
  </si>
  <si>
    <t xml:space="preserve">E8</t>
  </si>
  <si>
    <t xml:space="preserve">Ground-limited by container reactions</t>
  </si>
  <si>
    <t xml:space="preserve">Vit106a full dataset now available (ISS-EML)</t>
  </si>
  <si>
    <t xml:space="preserve">Section E: 8 phenomena  |  High-effect (scale ≥7): 5  |  Gaps/Missing: 1</t>
  </si>
  <si>
    <t xml:space="preserve">F — Detached Bridgman &amp; Semiconductor Crystal Quality (Flemings Ch. 2, 9)</t>
  </si>
  <si>
    <t xml:space="preserve">F1</t>
  </si>
  <si>
    <t xml:space="preserve">Rare — suppressed by hydrostatic pressure</t>
  </si>
  <si>
    <t xml:space="preserve">Natural outcome; 10–100 µm gap forms spontaneously</t>
  </si>
  <si>
    <t xml:space="preserve">F2</t>
  </si>
  <si>
    <t xml:space="preserve">Ground-workable only with rough crucibles or applied ΔP</t>
  </si>
  <si>
    <t xml:space="preserve">Capillary-only (contact + growth angle &gt; 180°) confirmed</t>
  </si>
  <si>
    <t xml:space="preserve">F3</t>
  </si>
  <si>
    <t xml:space="preserve">Baseline ground crystal quality</t>
  </si>
  <si>
    <t xml:space="preserve">~10–50× lower in detached-grown crystals</t>
  </si>
  <si>
    <t xml:space="preserve">F4</t>
  </si>
  <si>
    <t xml:space="preserve">Baseline ground InAsSb</t>
  </si>
  <si>
    <t xml:space="preserve">10× lower (CSS µg growth)</t>
  </si>
  <si>
    <t xml:space="preserve">F5</t>
  </si>
  <si>
    <t xml:space="preserve">Variable across wafer (convective mixing)</t>
  </si>
  <si>
    <t xml:space="preserve">±0.5 mol% Sb over 11 mm × 2.5 mm</t>
  </si>
  <si>
    <t xml:space="preserve">F6</t>
  </si>
  <si>
    <t xml:space="preserve">Present; masks intrinsic properties</t>
  </si>
  <si>
    <t xml:space="preserve">Eliminated — activates intrinsic sliding ferroelectricity</t>
  </si>
  <si>
    <t xml:space="preserve">F7</t>
  </si>
  <si>
    <t xml:space="preserve">Baseline ground quality across diverse alloys</t>
  </si>
  <si>
    <t xml:space="preserve">86% improved on ≥1 metric (meta-analysis)</t>
  </si>
  <si>
    <t xml:space="preserve">F8</t>
  </si>
  <si>
    <t xml:space="preserve">N/A (ground only)</t>
  </si>
  <si>
    <t xml:space="preserve">~35% dislocation reduction (partial emulation)</t>
  </si>
  <si>
    <t xml:space="preserve">Section F: 8 phenomena  |  High-effect (scale ≥7): 7  |  Gaps/Missing: 0</t>
  </si>
  <si>
    <t xml:space="preserve">G — Gas Porosity, Bubble Behaviour &amp; AM Bridge (Flemings Ch. 10)</t>
  </si>
  <si>
    <t xml:space="preserve">G1</t>
  </si>
  <si>
    <t xml:space="preserve">Bubbles rise under g; most vent — low porosity</t>
  </si>
  <si>
    <t xml:space="preserve">Bubbles trapped; Marangoni-only escape</t>
  </si>
  <si>
    <t xml:space="preserve">G2</t>
  </si>
  <si>
    <t xml:space="preserve">Lower than µg (buoyant venting helps)</t>
  </si>
  <si>
    <t xml:space="preserve">49.7 → 53.9% volume fraction (1g vs µg)</t>
  </si>
  <si>
    <t xml:space="preserve">G3</t>
  </si>
  <si>
    <t xml:space="preserve">Masked by buoyancy — not isolatable</t>
  </si>
  <si>
    <t xml:space="preserve">Isolated &amp; quantifiable in µg / AM environment</t>
  </si>
  <si>
    <t xml:space="preserve">G4</t>
  </si>
  <si>
    <t xml:space="preserve">Emerging concept — no full cross-validation yet</t>
  </si>
  <si>
    <t xml:space="preserve">Section G: 4 phenomena  |  High-effect (scale ≥7): 2  |  Gaps/Missing: 1</t>
  </si>
  <si>
    <t xml:space="preserve">H — Processing–Structure–Property &amp; Mechanical Data (Flemings Ch. 10)</t>
  </si>
  <si>
    <t xml:space="preserve">H1</t>
  </si>
  <si>
    <t xml:space="preserve">Baseline (published, well-characterized)</t>
  </si>
  <si>
    <t xml:space="preserve">NO PUBLISHED DATA — open gap as of April 2026</t>
  </si>
  <si>
    <t xml:space="preserve">H2</t>
  </si>
  <si>
    <t xml:space="preserve">Baseline (well-characterized)</t>
  </si>
  <si>
    <t xml:space="preserve">NO PUBLISHED DATA</t>
  </si>
  <si>
    <t xml:space="preserve">H3</t>
  </si>
  <si>
    <t xml:space="preserve">Baseline</t>
  </si>
  <si>
    <t xml:space="preserve">Ruan 2017 AlAgGe: finer grain → higher H (limited dataset)</t>
  </si>
  <si>
    <t xml:space="preserve">H4</t>
  </si>
  <si>
    <t xml:space="preserve">Improved in 86% of 160 crystals (meta-analysis)</t>
  </si>
  <si>
    <t xml:space="preserve">H5</t>
  </si>
  <si>
    <t xml:space="preserve">Suppressed by stacking faults — not measurable</t>
  </si>
  <si>
    <t xml:space="preserve">High-performance ferroelectric activated</t>
  </si>
  <si>
    <t xml:space="preserve">H6</t>
  </si>
  <si>
    <t xml:space="preserve">Finer grain expected without convection (standard logic)</t>
  </si>
  <si>
    <t xml:space="preserve">LARGER grain in µg (lower effective cooling rate)</t>
  </si>
  <si>
    <t xml:space="preserve">Section H: 6 phenomena  |  High-effect (scale ≥7): 2  |  Gaps/Missing: 4</t>
  </si>
  <si>
    <t xml:space="preserve">Distribution of Effect Types — All Sections</t>
  </si>
  <si>
    <t xml:space="preserve">Count</t>
  </si>
  <si>
    <t xml:space="preserve">% of Total</t>
  </si>
  <si>
    <t xml:space="preserve">Avg. Scale</t>
  </si>
  <si>
    <t xml:space="preserve">High Effect (≥7)</t>
  </si>
  <si>
    <t xml:space="preserve">Interpretation</t>
  </si>
  <si>
    <t xml:space="preserve">Measurable factor-of-N change between 1g and µg</t>
  </si>
  <si>
    <t xml:space="preserve">Dominant physical process switches entirely</t>
  </si>
  <si>
    <t xml:space="preserve">Only observable / accessible in µg conditions</t>
  </si>
  <si>
    <t xml:space="preserve">No significant difference; gravity plays no role</t>
  </si>
  <si>
    <t xml:space="preserve">µg enables cleaner benchmark / theory validation</t>
  </si>
  <si>
    <t xml:space="preserve">Data missing or cross-validation lacking as of 2026</t>
  </si>
  <si>
    <t xml:space="preserve">TOTAL: 66 phenomena</t>
  </si>
  <si>
    <t xml:space="preserve">100%</t>
  </si>
  <si>
    <t xml:space="preserve">43 (65%)</t>
  </si>
  <si>
    <t xml:space="preserve">Gravity has large effect (≥7/10) on majority of phenomena</t>
  </si>
  <si>
    <t xml:space="preserve">Note: % column uses formula =count/total. Scale bars: 0=no effect, 10=orders of magnitude.</t>
  </si>
  <si>
    <t xml:space="preserve">Research Gaps — 1g vs. µg Solidification (April 2026)</t>
  </si>
  <si>
    <t xml:space="preserve">Gap ID</t>
  </si>
  <si>
    <t xml:space="preserve">Domain</t>
  </si>
  <si>
    <t xml:space="preserve">Gap Description</t>
  </si>
  <si>
    <t xml:space="preserve">Why Critical</t>
  </si>
  <si>
    <t xml:space="preserve">Suggested Approach</t>
  </si>
  <si>
    <t xml:space="preserve">RG-1</t>
  </si>
  <si>
    <t xml:space="preserve">Mechanical Properties</t>
  </si>
  <si>
    <t xml:space="preserve">Critical</t>
  </si>
  <si>
    <t xml:space="preserve">No tensile strength, fatigue, or creep data for ISS/CSS-solidified metallic alloys in the open literature (as of April 2026).</t>
  </si>
  <si>
    <t xml:space="preserve">Impossible to assess structural utility of µg-processed alloys without mechanical data. Structure–property link entirely missing.</t>
  </si>
  <si>
    <t xml:space="preserve">Mechanical test program on returned ISS samples (CETSOL, MICAST); standardised mini-tensile specimens from CSS bulk alloys.</t>
  </si>
  <si>
    <t xml:space="preserve">RG-2</t>
  </si>
  <si>
    <t xml:space="preserve">Thermophysical Cross-Platform</t>
  </si>
  <si>
    <t xml:space="preserve">No systematic ISS-EML vs. CSS cross-validation for density, surface tension, viscosity on the same alloy.</t>
  </si>
  <si>
    <t xml:space="preserve">Without cross-validation, systematic errors between platforms unquantified; ESA and CNSA databases cannot be merged with confidence.</t>
  </si>
  <si>
    <t xml:space="preserve">Joint ISS/CSS experiment on reference alloy (e.g., Au, Fe-Ni); publish with full uncertainty budgets.</t>
  </si>
  <si>
    <t xml:space="preserve">RG-3</t>
  </si>
  <si>
    <t xml:space="preserve">G-Jitter Thresholds (Broad)</t>
  </si>
  <si>
    <t xml:space="preserve">High</t>
  </si>
  <si>
    <t xml:space="preserve">Only one empirical g-jitter threshold published (Al-20Cu, ±0.04g). No data for eutectic, undercooled, or semiconductor systems.</t>
  </si>
  <si>
    <t xml:space="preserve">ISS vibration spectrum (0.01–100 Hz) affects all experiments differently; thresholds needed per system type.</t>
  </si>
  <si>
    <t xml:space="preserve">Systematic parabolic-flight campaign varying alloy class, frequency, and amplitude.</t>
  </si>
  <si>
    <t xml:space="preserve">RG-4</t>
  </si>
  <si>
    <t xml:space="preserve">AM–Microgravity Linkage</t>
  </si>
  <si>
    <t xml:space="preserve">Conceptual bridge between µg solidification physics and AM defect mitigation exists but no quantitative cross-validation.</t>
  </si>
  <si>
    <t xml:space="preserve">AM in space and on Earth can benefit from µg-derived Marangoni pore-elimination insights, but the link is asserted, not demonstrated.</t>
  </si>
  <si>
    <t xml:space="preserve">Targeted melt-pool µg experiment replicating AM thermal gradients; compare pore statistics vs. AM ground controls.</t>
  </si>
  <si>
    <t xml:space="preserve">RG-5</t>
  </si>
  <si>
    <t xml:space="preserve">Semiconductor Property Database</t>
  </si>
  <si>
    <t xml:space="preserve">86% improvement claim (Vincent 2024 meta-analysis) conflates heterogeneous metrics across 160 crystals from different eras.</t>
  </si>
  <si>
    <t xml:space="preserve">A controlled, standardised dataset is needed for quantitative comparison.</t>
  </si>
  <si>
    <t xml:space="preserve">Standardised post-flight protocol (XRD rocking curve, etch-pit density, Hall mobility) applied uniformly to all future CSS/ISS samples.</t>
  </si>
  <si>
    <t xml:space="preserve">RG-6</t>
  </si>
  <si>
    <t xml:space="preserve">Macrosegregation in AM Parts (µg)</t>
  </si>
  <si>
    <t xml:space="preserve">Moderate</t>
  </si>
  <si>
    <t xml:space="preserve">Macrosegregation characterisation of AM parts produced in µg (e.g., ISS) is essentially absent from literature.</t>
  </si>
  <si>
    <t xml:space="preserve">Unknown whether µg AM material retains the segregation benefits seen in conventionally solidified ingots.</t>
  </si>
  <si>
    <t xml:space="preserve">Micro-XRF and EPMA mapping of AM parts returned from ISS; compare with identical ground-processed control.</t>
  </si>
  <si>
    <t xml:space="preserve">RG-7</t>
  </si>
  <si>
    <t xml:space="preserve">Peritectic/Monotectic Phase Diagrams Under µg</t>
  </si>
  <si>
    <t xml:space="preserve">Thermodynamic reassessment of phase diagram boundaries in µg has not been performed.</t>
  </si>
  <si>
    <t xml:space="preserve">Phase-field models use 1g-derived thermodynamic databases; if µg shifts apparent boundaries, models need recalibration.</t>
  </si>
  <si>
    <t xml:space="preserve">Calorimetric DSC on returned µg-solidified samples; compare with CALPHAD predictions.</t>
  </si>
  <si>
    <t xml:space="preserve">RG-8</t>
  </si>
  <si>
    <t xml:space="preserve">Counter-Intuitive Grain Coarsening (Fe-19Si)</t>
  </si>
  <si>
    <t xml:space="preserve">Fe-19Si shows LARGER grains in µg than on ground — opposite to standard expectation (Hu 2025). Mechanism unresolved.</t>
  </si>
  <si>
    <t xml:space="preserve">If suppression of convection reduces effective cooling rate more than coarsening driving force, standard scaling laws need revision.</t>
  </si>
  <si>
    <t xml:space="preserve">Coupled thermal–microstructure model for Fe-Si in µg; DSC calibration; compare with phase-field simulation.</t>
  </si>
  <si>
    <t xml:space="preserve">Open Questions — 1g vs. µg Solidification (April 2026)</t>
  </si>
  <si>
    <t xml:space="preserve">OQ #</t>
  </si>
  <si>
    <t xml:space="preserve">Type of Work</t>
  </si>
  <si>
    <t xml:space="preserve">Open Question</t>
  </si>
  <si>
    <t xml:space="preserve">Table Ref.</t>
  </si>
  <si>
    <t xml:space="preserve">OQ-1</t>
  </si>
  <si>
    <t xml:space="preserve">Dendritic Growth</t>
  </si>
  <si>
    <t xml:space="preserve">Theory</t>
  </si>
  <si>
    <t xml:space="preserve">Does the Alexandrov (2026) non-paraboloid tip correction fully resolve the IDGE tip-velocity anomaly, or is there a residual kinetic-coefficient discrepancy not accessible in µg?</t>
  </si>
  <si>
    <t xml:space="preserve">OQ-2</t>
  </si>
  <si>
    <t xml:space="preserve">Nucleation Kinetics</t>
  </si>
  <si>
    <t xml:space="preserve">Experiment</t>
  </si>
  <si>
    <t xml:space="preserve">Does RF stirring universally slow nucleation in supercooled melts (CFM), or is this specific to Zr₈₀Pt₂₀? What is the stirring-rate threshold?</t>
  </si>
  <si>
    <t xml:space="preserve">OQ-3</t>
  </si>
  <si>
    <t xml:space="preserve">Undercooling Limits</t>
  </si>
  <si>
    <t xml:space="preserve">Theory + Exp.</t>
  </si>
  <si>
    <t xml:space="preserve">What sets the practical ceiling for undercooling on CSS — impurity level, cooling rate, or a fundamental thermodynamic limit approaching 0.2 T_L?</t>
  </si>
  <si>
    <t xml:space="preserve">D1–D4</t>
  </si>
  <si>
    <t xml:space="preserve">OQ-4</t>
  </si>
  <si>
    <t xml:space="preserve">CET in 3D</t>
  </si>
  <si>
    <t xml:space="preserve">Is CET truly absent in µg directional solidification of non-grain-refined alloys, or does it occur much deeper in the mushy zone than X-ray can image?</t>
  </si>
  <si>
    <t xml:space="preserve">OQ-5</t>
  </si>
  <si>
    <t xml:space="preserve">Phase Field Validity</t>
  </si>
  <si>
    <t xml:space="preserve">Modelling</t>
  </si>
  <si>
    <t xml:space="preserve">Are phase-field simulations validated only for SCN and Al-Cu, or can they be extended to HEA eutectic systems (Al₀.₉CoCrNi₂.₁) using µg benchmarks?</t>
  </si>
  <si>
    <t xml:space="preserve">B11, C1</t>
  </si>
  <si>
    <t xml:space="preserve">OQ-6</t>
  </si>
  <si>
    <t xml:space="preserve">Marangoni vs. Buoyancy Crossover</t>
  </si>
  <si>
    <t xml:space="preserve">At what exact gravity level (between 10⁻⁴g and 1g) does Marangoni flow begin to dominate over buoyancy in a typical metallic melt? Is it alloy-class-dependent?</t>
  </si>
  <si>
    <t xml:space="preserve">C7–C9, G1</t>
  </si>
  <si>
    <t xml:space="preserve">OQ-7</t>
  </si>
  <si>
    <t xml:space="preserve">Semiconductor Yield</t>
  </si>
  <si>
    <t xml:space="preserve">Controlled Exp.</t>
  </si>
  <si>
    <t xml:space="preserve">What fraction of the improvement in µg-grown semiconductor crystals is attributable to containerless processing (no wall nucleation) vs. suppressed convection per se?</t>
  </si>
  <si>
    <t xml:space="preserve">F1–F7</t>
  </si>
  <si>
    <t xml:space="preserve">OQ-8</t>
  </si>
  <si>
    <t xml:space="preserve">Mechanical Property Scaling</t>
  </si>
  <si>
    <t xml:space="preserve">If µg produces finer SDAS and fewer dislocations, what is the quantitative Hall-Petch or Orowan strengthening gain for engineering alloy systems?</t>
  </si>
  <si>
    <t xml:space="preserve">H1–H3</t>
  </si>
  <si>
    <t xml:space="preserve">OQ-9</t>
  </si>
  <si>
    <t xml:space="preserve">AM in Space</t>
  </si>
  <si>
    <t xml:space="preserve">Applied Research</t>
  </si>
  <si>
    <t xml:space="preserve">Can µg-derived insights on Marangoni-driven pore elimination be used to design improved AM process parameters on Earth, or is the physics too context-specific?</t>
  </si>
  <si>
    <t xml:space="preserve">G3–G4</t>
  </si>
  <si>
    <t xml:space="preserve">OQ-10</t>
  </si>
  <si>
    <t xml:space="preserve">Metastable Phases</t>
  </si>
  <si>
    <t xml:space="preserve">Materials Design</t>
  </si>
  <si>
    <t xml:space="preserve">BMG formation (Zr-Ni-Al-Nb; 83% amorphous in µg) raises the question: can µg containerless processing enable bulk metallic glasses of alloy compositions not glass-forming on Earth?</t>
  </si>
  <si>
    <t xml:space="preserve">D3, D6</t>
  </si>
  <si>
    <t xml:space="preserve">Legend — Effect Types, Scale, and Column Definitions</t>
  </si>
  <si>
    <t xml:space="preserve">Row Colour</t>
  </si>
  <si>
    <t xml:space="preserve">Description</t>
  </si>
  <si>
    <t xml:space="preserve">Scale Range</t>
  </si>
  <si>
    <t xml:space="preserve">Example Phenomena</t>
  </si>
  <si>
    <t xml:space="preserve">Measurable factor-of-N change in a property between 1g and µg</t>
  </si>
  <si>
    <t xml:space="preserve">2–10</t>
  </si>
  <si>
    <t xml:space="preserve">SDAS 30% finer; segregation 4–6×; density uncertainty 10× better</t>
  </si>
  <si>
    <t xml:space="preserve">The dominant physical process switches (e.g., convective → diffusive)</t>
  </si>
  <si>
    <t xml:space="preserve">5–10</t>
  </si>
  <si>
    <t xml:space="preserve">CET mechanism; nucleation mode; interdendritic flow driver</t>
  </si>
  <si>
    <t xml:space="preserve">Pattern, morphology, or state only observable/accessible in µg</t>
  </si>
  <si>
    <t xml:space="preserve">6–10</t>
  </si>
  <si>
    <t xml:space="preserve">Spiral eutectic; LMR morphology; freckle elimination; InSe ferroelectric</t>
  </si>
  <si>
    <t xml:space="preserve">No significant difference between 1g and µg outcomes</t>
  </si>
  <si>
    <t xml:space="preserve">1–3</t>
  </si>
  <si>
    <t xml:space="preserve">Isothermal dendritic growth velocity; inverse segregation</t>
  </si>
  <si>
    <t xml:space="preserve">µg provides a cleaner benchmark enabling better theory validation</t>
  </si>
  <si>
    <t xml:space="preserve">3–8</t>
  </si>
  <si>
    <t xml:space="preserve">BPS boundary layer; DECLIC 3D dendrite; viscosity ±1.9%</t>
  </si>
  <si>
    <t xml:space="preserve">Data missing or cross-validation lacking as of April 2026</t>
  </si>
  <si>
    <t xml:space="preserve">0</t>
  </si>
  <si>
    <t xml:space="preserve">Tensile strength; fatigue; ISS-EML vs. CSS cross-validation</t>
  </si>
  <si>
    <t xml:space="preserve">Scale bar notation:  ██████████ = 10 (max: orders of magnitude / new phenomenon)   ░░░░░░░░░░ = 0 (no effect / gap)   Each █ ≈ 1 point on 0–10 scale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</si>
</sst>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.5"/>
      <color rgb="FF1C2833"/>
      <name val="Arial"/>
      <family val="0"/>
      <charset val="1"/>
    </font>
    <font>
      <sz val="8.5"/>
      <color rgb="FF1C2833"/>
      <name val="Arial"/>
      <family val="0"/>
      <charset val="1"/>
    </font>
    <font>
      <sz val="8"/>
      <color rgb="FF1C2833"/>
      <name val="Arial"/>
      <family val="0"/>
      <charset val="1"/>
    </font>
    <font>
      <sz val="9"/>
      <color rgb="FF2E75B6"/>
      <name val="Courier New"/>
      <family val="0"/>
      <charset val="1"/>
    </font>
    <font>
      <i val="true"/>
      <sz val="8.5"/>
      <color rgb="FF1C2833"/>
      <name val="Arial"/>
      <family val="0"/>
      <charset val="1"/>
    </font>
    <font>
      <b val="true"/>
      <sz val="8.5"/>
      <color rgb="FFC0392B"/>
      <name val="Arial"/>
      <family val="0"/>
      <charset val="1"/>
    </font>
    <font>
      <b val="true"/>
      <sz val="9"/>
      <color rgb="FF1C2833"/>
      <name val="Arial"/>
      <family val="0"/>
      <charset val="1"/>
    </font>
    <font>
      <sz val="9"/>
      <color rgb="FF1C2833"/>
      <name val="Arial"/>
      <family val="0"/>
      <charset val="1"/>
    </font>
    <font>
      <i val="true"/>
      <sz val="8"/>
      <color rgb="FF1C283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C2833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C0392B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2C3E50"/>
        <bgColor rgb="FF1F3864"/>
      </patternFill>
    </fill>
    <fill>
      <patternFill patternType="solid">
        <fgColor rgb="FFEBF5FB"/>
        <bgColor rgb="FFF2F3F4"/>
      </patternFill>
    </fill>
    <fill>
      <patternFill patternType="solid">
        <fgColor rgb="FFFEF9E7"/>
        <bgColor rgb="FFF2F3F4"/>
      </patternFill>
    </fill>
    <fill>
      <patternFill patternType="solid">
        <fgColor rgb="FFF2F3F4"/>
        <bgColor rgb="FFF0F0F0"/>
      </patternFill>
    </fill>
    <fill>
      <patternFill patternType="solid">
        <fgColor rgb="FFF4ECF7"/>
        <bgColor rgb="FFF0F0F0"/>
      </patternFill>
    </fill>
    <fill>
      <patternFill patternType="solid">
        <fgColor rgb="FFEAFAF1"/>
        <bgColor rgb="FFEBF5FB"/>
      </patternFill>
    </fill>
    <fill>
      <patternFill patternType="solid">
        <fgColor rgb="FFFDEDEC"/>
        <bgColor rgb="FFF4ECF7"/>
      </patternFill>
    </fill>
    <fill>
      <patternFill patternType="solid">
        <fgColor rgb="FF2E75B6"/>
        <bgColor rgb="FF0066CC"/>
      </patternFill>
    </fill>
    <fill>
      <patternFill patternType="solid">
        <fgColor rgb="FFF0F0F0"/>
        <bgColor rgb="FFF2F3F4"/>
      </patternFill>
    </fill>
    <fill>
      <patternFill patternType="solid">
        <fgColor rgb="FFD5D8DC"/>
        <bgColor rgb="FFFADBD8"/>
      </patternFill>
    </fill>
    <fill>
      <patternFill patternType="solid">
        <fgColor rgb="FFFADBD8"/>
        <bgColor rgb="FFFDED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EF9E7"/>
      <rgbColor rgb="FFEAFA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0F0F0"/>
      <rgbColor rgb="FFFDEDEC"/>
      <rgbColor rgb="FFF4ECF7"/>
      <rgbColor rgb="FFF2F3F4"/>
      <rgbColor rgb="FFCC99FF"/>
      <rgbColor rgb="FFFADBD8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1C2833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0" min="10" style="0" width="4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45" hidden="false" customHeight="true" outlineLevel="0" collapsed="false">
      <c r="A3" s="3" t="s">
        <v>11</v>
      </c>
      <c r="B3" s="4" t="s">
        <v>12</v>
      </c>
      <c r="C3" s="5" t="s">
        <v>13</v>
      </c>
      <c r="D3" s="4" t="s">
        <v>14</v>
      </c>
      <c r="E3" s="6" t="n">
        <v>6</v>
      </c>
      <c r="F3" s="7" t="s">
        <v>15</v>
      </c>
      <c r="G3" s="6" t="s">
        <v>16</v>
      </c>
      <c r="H3" s="6" t="s">
        <v>17</v>
      </c>
      <c r="I3" s="6" t="s">
        <v>18</v>
      </c>
      <c r="J3" s="8" t="s">
        <v>19</v>
      </c>
    </row>
    <row r="4" customFormat="false" ht="45" hidden="false" customHeight="true" outlineLevel="0" collapsed="false">
      <c r="A4" s="9" t="s">
        <v>11</v>
      </c>
      <c r="B4" s="10" t="s">
        <v>20</v>
      </c>
      <c r="C4" s="11" t="s">
        <v>21</v>
      </c>
      <c r="D4" s="10" t="s">
        <v>22</v>
      </c>
      <c r="E4" s="12" t="n">
        <v>8</v>
      </c>
      <c r="F4" s="13" t="s">
        <v>23</v>
      </c>
      <c r="G4" s="12" t="s">
        <v>16</v>
      </c>
      <c r="H4" s="12" t="s">
        <v>24</v>
      </c>
      <c r="I4" s="12" t="s">
        <v>25</v>
      </c>
      <c r="J4" s="14" t="s">
        <v>26</v>
      </c>
    </row>
    <row r="5" customFormat="false" ht="45" hidden="false" customHeight="true" outlineLevel="0" collapsed="false">
      <c r="A5" s="3" t="s">
        <v>11</v>
      </c>
      <c r="B5" s="4" t="s">
        <v>27</v>
      </c>
      <c r="C5" s="5" t="s">
        <v>13</v>
      </c>
      <c r="D5" s="4" t="s">
        <v>28</v>
      </c>
      <c r="E5" s="6" t="n">
        <v>5</v>
      </c>
      <c r="F5" s="7" t="s">
        <v>29</v>
      </c>
      <c r="G5" s="6" t="s">
        <v>16</v>
      </c>
      <c r="H5" s="6" t="s">
        <v>17</v>
      </c>
      <c r="I5" s="6" t="s">
        <v>18</v>
      </c>
      <c r="J5" s="8" t="s">
        <v>30</v>
      </c>
    </row>
    <row r="6" customFormat="false" ht="45" hidden="false" customHeight="true" outlineLevel="0" collapsed="false">
      <c r="A6" s="15" t="s">
        <v>11</v>
      </c>
      <c r="B6" s="16" t="s">
        <v>31</v>
      </c>
      <c r="C6" s="17" t="s">
        <v>32</v>
      </c>
      <c r="D6" s="16" t="s">
        <v>33</v>
      </c>
      <c r="E6" s="18" t="n">
        <v>2</v>
      </c>
      <c r="F6" s="19" t="s">
        <v>34</v>
      </c>
      <c r="G6" s="18" t="s">
        <v>16</v>
      </c>
      <c r="H6" s="18" t="s">
        <v>17</v>
      </c>
      <c r="I6" s="18" t="s">
        <v>35</v>
      </c>
      <c r="J6" s="20" t="s">
        <v>36</v>
      </c>
    </row>
    <row r="7" customFormat="false" ht="45" hidden="false" customHeight="true" outlineLevel="0" collapsed="false">
      <c r="A7" s="21" t="s">
        <v>11</v>
      </c>
      <c r="B7" s="22" t="s">
        <v>37</v>
      </c>
      <c r="C7" s="23" t="s">
        <v>38</v>
      </c>
      <c r="D7" s="22" t="s">
        <v>39</v>
      </c>
      <c r="E7" s="24" t="n">
        <v>10</v>
      </c>
      <c r="F7" s="25" t="s">
        <v>40</v>
      </c>
      <c r="G7" s="24" t="s">
        <v>16</v>
      </c>
      <c r="H7" s="24" t="s">
        <v>24</v>
      </c>
      <c r="I7" s="24" t="s">
        <v>25</v>
      </c>
      <c r="J7" s="26" t="s">
        <v>41</v>
      </c>
    </row>
    <row r="8" customFormat="false" ht="45" hidden="false" customHeight="true" outlineLevel="0" collapsed="false">
      <c r="A8" s="9" t="s">
        <v>11</v>
      </c>
      <c r="B8" s="10" t="s">
        <v>42</v>
      </c>
      <c r="C8" s="11" t="s">
        <v>21</v>
      </c>
      <c r="D8" s="10" t="s">
        <v>43</v>
      </c>
      <c r="E8" s="12" t="n">
        <v>8</v>
      </c>
      <c r="F8" s="13" t="s">
        <v>23</v>
      </c>
      <c r="G8" s="12" t="s">
        <v>16</v>
      </c>
      <c r="H8" s="12" t="s">
        <v>24</v>
      </c>
      <c r="I8" s="12" t="s">
        <v>25</v>
      </c>
      <c r="J8" s="14" t="s">
        <v>44</v>
      </c>
    </row>
    <row r="9" customFormat="false" ht="45" hidden="false" customHeight="true" outlineLevel="0" collapsed="false">
      <c r="A9" s="9" t="s">
        <v>11</v>
      </c>
      <c r="B9" s="10" t="s">
        <v>45</v>
      </c>
      <c r="C9" s="11" t="s">
        <v>21</v>
      </c>
      <c r="D9" s="10" t="s">
        <v>46</v>
      </c>
      <c r="E9" s="12" t="n">
        <v>9</v>
      </c>
      <c r="F9" s="13" t="s">
        <v>47</v>
      </c>
      <c r="G9" s="12" t="s">
        <v>16</v>
      </c>
      <c r="H9" s="12" t="s">
        <v>24</v>
      </c>
      <c r="I9" s="12" t="s">
        <v>25</v>
      </c>
      <c r="J9" s="14" t="s">
        <v>48</v>
      </c>
    </row>
    <row r="10" customFormat="false" ht="45" hidden="false" customHeight="true" outlineLevel="0" collapsed="false">
      <c r="A10" s="21" t="s">
        <v>11</v>
      </c>
      <c r="B10" s="22" t="s">
        <v>49</v>
      </c>
      <c r="C10" s="23" t="s">
        <v>38</v>
      </c>
      <c r="D10" s="22" t="s">
        <v>50</v>
      </c>
      <c r="E10" s="24" t="n">
        <v>8</v>
      </c>
      <c r="F10" s="25" t="s">
        <v>23</v>
      </c>
      <c r="G10" s="24" t="s">
        <v>16</v>
      </c>
      <c r="H10" s="24" t="s">
        <v>24</v>
      </c>
      <c r="I10" s="24" t="s">
        <v>25</v>
      </c>
      <c r="J10" s="26" t="s">
        <v>51</v>
      </c>
    </row>
    <row r="11" customFormat="false" ht="45" hidden="false" customHeight="true" outlineLevel="0" collapsed="false">
      <c r="A11" s="3" t="s">
        <v>52</v>
      </c>
      <c r="B11" s="4" t="s">
        <v>53</v>
      </c>
      <c r="C11" s="5" t="s">
        <v>13</v>
      </c>
      <c r="D11" s="4" t="s">
        <v>54</v>
      </c>
      <c r="E11" s="6" t="n">
        <v>3</v>
      </c>
      <c r="F11" s="7" t="s">
        <v>55</v>
      </c>
      <c r="G11" s="6" t="s">
        <v>56</v>
      </c>
      <c r="H11" s="6" t="s">
        <v>17</v>
      </c>
      <c r="I11" s="6" t="s">
        <v>35</v>
      </c>
      <c r="J11" s="8" t="s">
        <v>57</v>
      </c>
    </row>
    <row r="12" customFormat="false" ht="45" hidden="false" customHeight="true" outlineLevel="0" collapsed="false">
      <c r="A12" s="3" t="s">
        <v>52</v>
      </c>
      <c r="B12" s="4" t="s">
        <v>58</v>
      </c>
      <c r="C12" s="5" t="s">
        <v>13</v>
      </c>
      <c r="D12" s="4" t="s">
        <v>59</v>
      </c>
      <c r="E12" s="6" t="n">
        <v>4</v>
      </c>
      <c r="F12" s="7" t="s">
        <v>60</v>
      </c>
      <c r="G12" s="6" t="s">
        <v>56</v>
      </c>
      <c r="H12" s="6" t="s">
        <v>17</v>
      </c>
      <c r="I12" s="6" t="s">
        <v>35</v>
      </c>
      <c r="J12" s="8" t="s">
        <v>61</v>
      </c>
    </row>
    <row r="13" customFormat="false" ht="45" hidden="false" customHeight="true" outlineLevel="0" collapsed="false">
      <c r="A13" s="3" t="s">
        <v>52</v>
      </c>
      <c r="B13" s="4" t="s">
        <v>62</v>
      </c>
      <c r="C13" s="5" t="s">
        <v>13</v>
      </c>
      <c r="D13" s="4" t="s">
        <v>63</v>
      </c>
      <c r="E13" s="6" t="n">
        <v>4</v>
      </c>
      <c r="F13" s="7" t="s">
        <v>60</v>
      </c>
      <c r="G13" s="6" t="s">
        <v>56</v>
      </c>
      <c r="H13" s="6" t="s">
        <v>17</v>
      </c>
      <c r="I13" s="6" t="s">
        <v>35</v>
      </c>
      <c r="J13" s="8" t="s">
        <v>64</v>
      </c>
    </row>
    <row r="14" customFormat="false" ht="45" hidden="false" customHeight="true" outlineLevel="0" collapsed="false">
      <c r="A14" s="9" t="s">
        <v>52</v>
      </c>
      <c r="B14" s="10" t="s">
        <v>65</v>
      </c>
      <c r="C14" s="11" t="s">
        <v>21</v>
      </c>
      <c r="D14" s="10" t="s">
        <v>66</v>
      </c>
      <c r="E14" s="12" t="n">
        <v>8</v>
      </c>
      <c r="F14" s="13" t="s">
        <v>23</v>
      </c>
      <c r="G14" s="12" t="s">
        <v>56</v>
      </c>
      <c r="H14" s="12" t="s">
        <v>24</v>
      </c>
      <c r="I14" s="12" t="s">
        <v>25</v>
      </c>
      <c r="J14" s="14" t="s">
        <v>67</v>
      </c>
    </row>
    <row r="15" customFormat="false" ht="45" hidden="false" customHeight="true" outlineLevel="0" collapsed="false">
      <c r="A15" s="9" t="s">
        <v>52</v>
      </c>
      <c r="B15" s="10" t="s">
        <v>68</v>
      </c>
      <c r="C15" s="11" t="s">
        <v>21</v>
      </c>
      <c r="D15" s="10" t="s">
        <v>69</v>
      </c>
      <c r="E15" s="12" t="n">
        <v>7</v>
      </c>
      <c r="F15" s="13" t="s">
        <v>70</v>
      </c>
      <c r="G15" s="12" t="s">
        <v>56</v>
      </c>
      <c r="H15" s="12" t="s">
        <v>24</v>
      </c>
      <c r="I15" s="12" t="s">
        <v>18</v>
      </c>
      <c r="J15" s="14" t="s">
        <v>71</v>
      </c>
    </row>
    <row r="16" customFormat="false" ht="45" hidden="false" customHeight="true" outlineLevel="0" collapsed="false">
      <c r="A16" s="27" t="s">
        <v>52</v>
      </c>
      <c r="B16" s="28" t="s">
        <v>72</v>
      </c>
      <c r="C16" s="29" t="s">
        <v>73</v>
      </c>
      <c r="D16" s="28" t="s">
        <v>74</v>
      </c>
      <c r="E16" s="30" t="n">
        <v>2</v>
      </c>
      <c r="F16" s="31" t="s">
        <v>34</v>
      </c>
      <c r="G16" s="30" t="s">
        <v>56</v>
      </c>
      <c r="H16" s="30" t="s">
        <v>17</v>
      </c>
      <c r="I16" s="30" t="s">
        <v>35</v>
      </c>
      <c r="J16" s="32" t="s">
        <v>75</v>
      </c>
    </row>
    <row r="17" customFormat="false" ht="45" hidden="false" customHeight="true" outlineLevel="0" collapsed="false">
      <c r="A17" s="27" t="s">
        <v>52</v>
      </c>
      <c r="B17" s="28" t="s">
        <v>76</v>
      </c>
      <c r="C17" s="29" t="s">
        <v>73</v>
      </c>
      <c r="D17" s="28" t="s">
        <v>77</v>
      </c>
      <c r="E17" s="30" t="n">
        <v>7</v>
      </c>
      <c r="F17" s="31" t="s">
        <v>70</v>
      </c>
      <c r="G17" s="30" t="s">
        <v>56</v>
      </c>
      <c r="H17" s="30" t="s">
        <v>24</v>
      </c>
      <c r="I17" s="30" t="s">
        <v>18</v>
      </c>
      <c r="J17" s="32" t="s">
        <v>78</v>
      </c>
    </row>
    <row r="18" customFormat="false" ht="45" hidden="false" customHeight="true" outlineLevel="0" collapsed="false">
      <c r="A18" s="9" t="s">
        <v>52</v>
      </c>
      <c r="B18" s="10" t="s">
        <v>79</v>
      </c>
      <c r="C18" s="11" t="s">
        <v>21</v>
      </c>
      <c r="D18" s="10" t="s">
        <v>80</v>
      </c>
      <c r="E18" s="12" t="n">
        <v>8</v>
      </c>
      <c r="F18" s="13" t="s">
        <v>23</v>
      </c>
      <c r="G18" s="12" t="s">
        <v>56</v>
      </c>
      <c r="H18" s="12" t="s">
        <v>24</v>
      </c>
      <c r="I18" s="12" t="s">
        <v>25</v>
      </c>
      <c r="J18" s="14" t="s">
        <v>81</v>
      </c>
    </row>
    <row r="19" customFormat="false" ht="45" hidden="false" customHeight="true" outlineLevel="0" collapsed="false">
      <c r="A19" s="15" t="s">
        <v>52</v>
      </c>
      <c r="B19" s="16" t="s">
        <v>82</v>
      </c>
      <c r="C19" s="17" t="s">
        <v>32</v>
      </c>
      <c r="D19" s="16" t="s">
        <v>83</v>
      </c>
      <c r="E19" s="18" t="n">
        <v>1</v>
      </c>
      <c r="F19" s="19" t="s">
        <v>84</v>
      </c>
      <c r="G19" s="18" t="s">
        <v>56</v>
      </c>
      <c r="H19" s="18" t="s">
        <v>17</v>
      </c>
      <c r="I19" s="18" t="s">
        <v>35</v>
      </c>
      <c r="J19" s="20" t="s">
        <v>85</v>
      </c>
    </row>
    <row r="20" customFormat="false" ht="45" hidden="false" customHeight="true" outlineLevel="0" collapsed="false">
      <c r="A20" s="9" t="s">
        <v>52</v>
      </c>
      <c r="B20" s="10" t="s">
        <v>86</v>
      </c>
      <c r="C20" s="11" t="s">
        <v>21</v>
      </c>
      <c r="D20" s="10" t="s">
        <v>87</v>
      </c>
      <c r="E20" s="12" t="n">
        <v>7</v>
      </c>
      <c r="F20" s="13" t="s">
        <v>70</v>
      </c>
      <c r="G20" s="12" t="s">
        <v>56</v>
      </c>
      <c r="H20" s="12" t="s">
        <v>24</v>
      </c>
      <c r="I20" s="12" t="s">
        <v>18</v>
      </c>
      <c r="J20" s="14" t="s">
        <v>88</v>
      </c>
    </row>
    <row r="21" customFormat="false" ht="45" hidden="false" customHeight="true" outlineLevel="0" collapsed="false">
      <c r="A21" s="27" t="s">
        <v>52</v>
      </c>
      <c r="B21" s="28" t="s">
        <v>89</v>
      </c>
      <c r="C21" s="29" t="s">
        <v>73</v>
      </c>
      <c r="D21" s="28" t="s">
        <v>90</v>
      </c>
      <c r="E21" s="30" t="n">
        <v>6</v>
      </c>
      <c r="F21" s="31" t="s">
        <v>15</v>
      </c>
      <c r="G21" s="30" t="s">
        <v>56</v>
      </c>
      <c r="H21" s="30" t="s">
        <v>17</v>
      </c>
      <c r="I21" s="30" t="s">
        <v>18</v>
      </c>
      <c r="J21" s="32" t="s">
        <v>91</v>
      </c>
    </row>
    <row r="22" customFormat="false" ht="45" hidden="false" customHeight="true" outlineLevel="0" collapsed="false">
      <c r="A22" s="27" t="s">
        <v>52</v>
      </c>
      <c r="B22" s="28" t="s">
        <v>92</v>
      </c>
      <c r="C22" s="29" t="s">
        <v>73</v>
      </c>
      <c r="D22" s="28" t="s">
        <v>93</v>
      </c>
      <c r="E22" s="30" t="n">
        <v>6</v>
      </c>
      <c r="F22" s="31" t="s">
        <v>15</v>
      </c>
      <c r="G22" s="30" t="s">
        <v>56</v>
      </c>
      <c r="H22" s="30" t="s">
        <v>17</v>
      </c>
      <c r="I22" s="30" t="s">
        <v>18</v>
      </c>
      <c r="J22" s="32" t="s">
        <v>94</v>
      </c>
    </row>
    <row r="23" customFormat="false" ht="45" hidden="false" customHeight="true" outlineLevel="0" collapsed="false">
      <c r="A23" s="3" t="s">
        <v>95</v>
      </c>
      <c r="B23" s="4" t="s">
        <v>96</v>
      </c>
      <c r="C23" s="5" t="s">
        <v>13</v>
      </c>
      <c r="D23" s="4" t="s">
        <v>97</v>
      </c>
      <c r="E23" s="6" t="n">
        <v>3</v>
      </c>
      <c r="F23" s="7" t="s">
        <v>55</v>
      </c>
      <c r="G23" s="6" t="s">
        <v>98</v>
      </c>
      <c r="H23" s="6" t="s">
        <v>17</v>
      </c>
      <c r="I23" s="6" t="s">
        <v>35</v>
      </c>
      <c r="J23" s="8" t="s">
        <v>99</v>
      </c>
    </row>
    <row r="24" customFormat="false" ht="45" hidden="false" customHeight="true" outlineLevel="0" collapsed="false">
      <c r="A24" s="21" t="s">
        <v>95</v>
      </c>
      <c r="B24" s="22" t="s">
        <v>100</v>
      </c>
      <c r="C24" s="23" t="s">
        <v>38</v>
      </c>
      <c r="D24" s="22" t="s">
        <v>101</v>
      </c>
      <c r="E24" s="24" t="n">
        <v>8</v>
      </c>
      <c r="F24" s="25" t="s">
        <v>23</v>
      </c>
      <c r="G24" s="24" t="s">
        <v>98</v>
      </c>
      <c r="H24" s="24" t="s">
        <v>24</v>
      </c>
      <c r="I24" s="24" t="s">
        <v>25</v>
      </c>
      <c r="J24" s="26" t="s">
        <v>102</v>
      </c>
    </row>
    <row r="25" customFormat="false" ht="45" hidden="false" customHeight="true" outlineLevel="0" collapsed="false">
      <c r="A25" s="9" t="s">
        <v>95</v>
      </c>
      <c r="B25" s="10" t="s">
        <v>103</v>
      </c>
      <c r="C25" s="11" t="s">
        <v>21</v>
      </c>
      <c r="D25" s="10" t="s">
        <v>104</v>
      </c>
      <c r="E25" s="12" t="n">
        <v>7</v>
      </c>
      <c r="F25" s="13" t="s">
        <v>70</v>
      </c>
      <c r="G25" s="12" t="s">
        <v>98</v>
      </c>
      <c r="H25" s="12" t="s">
        <v>24</v>
      </c>
      <c r="I25" s="12" t="s">
        <v>18</v>
      </c>
      <c r="J25" s="14" t="s">
        <v>105</v>
      </c>
    </row>
    <row r="26" customFormat="false" ht="45" hidden="false" customHeight="true" outlineLevel="0" collapsed="false">
      <c r="A26" s="27" t="s">
        <v>95</v>
      </c>
      <c r="B26" s="28" t="s">
        <v>106</v>
      </c>
      <c r="C26" s="29" t="s">
        <v>73</v>
      </c>
      <c r="D26" s="28" t="s">
        <v>107</v>
      </c>
      <c r="E26" s="30" t="n">
        <v>6</v>
      </c>
      <c r="F26" s="31" t="s">
        <v>15</v>
      </c>
      <c r="G26" s="30" t="s">
        <v>98</v>
      </c>
      <c r="H26" s="30" t="s">
        <v>17</v>
      </c>
      <c r="I26" s="30" t="s">
        <v>18</v>
      </c>
      <c r="J26" s="32" t="s">
        <v>108</v>
      </c>
    </row>
    <row r="27" customFormat="false" ht="45" hidden="false" customHeight="true" outlineLevel="0" collapsed="false">
      <c r="A27" s="9" t="s">
        <v>95</v>
      </c>
      <c r="B27" s="10" t="s">
        <v>109</v>
      </c>
      <c r="C27" s="11" t="s">
        <v>21</v>
      </c>
      <c r="D27" s="10" t="s">
        <v>110</v>
      </c>
      <c r="E27" s="12" t="n">
        <v>8</v>
      </c>
      <c r="F27" s="13" t="s">
        <v>23</v>
      </c>
      <c r="G27" s="12" t="s">
        <v>98</v>
      </c>
      <c r="H27" s="12" t="s">
        <v>24</v>
      </c>
      <c r="I27" s="12" t="s">
        <v>25</v>
      </c>
      <c r="J27" s="14" t="s">
        <v>111</v>
      </c>
    </row>
    <row r="28" customFormat="false" ht="45" hidden="false" customHeight="true" outlineLevel="0" collapsed="false">
      <c r="A28" s="21" t="s">
        <v>95</v>
      </c>
      <c r="B28" s="22" t="s">
        <v>112</v>
      </c>
      <c r="C28" s="23" t="s">
        <v>38</v>
      </c>
      <c r="D28" s="22" t="s">
        <v>113</v>
      </c>
      <c r="E28" s="24" t="n">
        <v>8</v>
      </c>
      <c r="F28" s="25" t="s">
        <v>23</v>
      </c>
      <c r="G28" s="24" t="s">
        <v>98</v>
      </c>
      <c r="H28" s="24" t="s">
        <v>24</v>
      </c>
      <c r="I28" s="24" t="s">
        <v>25</v>
      </c>
      <c r="J28" s="26" t="s">
        <v>114</v>
      </c>
    </row>
    <row r="29" customFormat="false" ht="45" hidden="false" customHeight="true" outlineLevel="0" collapsed="false">
      <c r="A29" s="21" t="s">
        <v>95</v>
      </c>
      <c r="B29" s="22" t="s">
        <v>115</v>
      </c>
      <c r="C29" s="23" t="s">
        <v>38</v>
      </c>
      <c r="D29" s="22" t="s">
        <v>116</v>
      </c>
      <c r="E29" s="24" t="n">
        <v>9</v>
      </c>
      <c r="F29" s="25" t="s">
        <v>47</v>
      </c>
      <c r="G29" s="24" t="s">
        <v>98</v>
      </c>
      <c r="H29" s="24" t="s">
        <v>24</v>
      </c>
      <c r="I29" s="24" t="s">
        <v>25</v>
      </c>
      <c r="J29" s="26" t="s">
        <v>117</v>
      </c>
    </row>
    <row r="30" customFormat="false" ht="45" hidden="false" customHeight="true" outlineLevel="0" collapsed="false">
      <c r="A30" s="9" t="s">
        <v>95</v>
      </c>
      <c r="B30" s="10" t="s">
        <v>118</v>
      </c>
      <c r="C30" s="11" t="s">
        <v>21</v>
      </c>
      <c r="D30" s="10" t="s">
        <v>119</v>
      </c>
      <c r="E30" s="12" t="n">
        <v>9</v>
      </c>
      <c r="F30" s="13" t="s">
        <v>47</v>
      </c>
      <c r="G30" s="12" t="s">
        <v>98</v>
      </c>
      <c r="H30" s="12" t="s">
        <v>24</v>
      </c>
      <c r="I30" s="12" t="s">
        <v>25</v>
      </c>
      <c r="J30" s="14" t="s">
        <v>120</v>
      </c>
    </row>
    <row r="31" customFormat="false" ht="45" hidden="false" customHeight="true" outlineLevel="0" collapsed="false">
      <c r="A31" s="21" t="s">
        <v>95</v>
      </c>
      <c r="B31" s="22" t="s">
        <v>121</v>
      </c>
      <c r="C31" s="23" t="s">
        <v>38</v>
      </c>
      <c r="D31" s="22" t="s">
        <v>122</v>
      </c>
      <c r="E31" s="24" t="n">
        <v>8</v>
      </c>
      <c r="F31" s="25" t="s">
        <v>23</v>
      </c>
      <c r="G31" s="24" t="s">
        <v>98</v>
      </c>
      <c r="H31" s="24" t="s">
        <v>24</v>
      </c>
      <c r="I31" s="24" t="s">
        <v>25</v>
      </c>
      <c r="J31" s="26" t="s">
        <v>123</v>
      </c>
    </row>
    <row r="32" customFormat="false" ht="45" hidden="false" customHeight="true" outlineLevel="0" collapsed="false">
      <c r="A32" s="27" t="s">
        <v>95</v>
      </c>
      <c r="B32" s="28" t="s">
        <v>124</v>
      </c>
      <c r="C32" s="29" t="s">
        <v>73</v>
      </c>
      <c r="D32" s="28" t="s">
        <v>125</v>
      </c>
      <c r="E32" s="30" t="n">
        <v>6</v>
      </c>
      <c r="F32" s="31" t="s">
        <v>15</v>
      </c>
      <c r="G32" s="30" t="s">
        <v>98</v>
      </c>
      <c r="H32" s="30" t="s">
        <v>17</v>
      </c>
      <c r="I32" s="30" t="s">
        <v>18</v>
      </c>
      <c r="J32" s="32" t="s">
        <v>126</v>
      </c>
    </row>
    <row r="33" customFormat="false" ht="45" hidden="false" customHeight="true" outlineLevel="0" collapsed="false">
      <c r="A33" s="3" t="s">
        <v>127</v>
      </c>
      <c r="B33" s="4" t="s">
        <v>128</v>
      </c>
      <c r="C33" s="5" t="s">
        <v>13</v>
      </c>
      <c r="D33" s="4" t="s">
        <v>129</v>
      </c>
      <c r="E33" s="6" t="n">
        <v>8</v>
      </c>
      <c r="F33" s="7" t="s">
        <v>23</v>
      </c>
      <c r="G33" s="6" t="s">
        <v>130</v>
      </c>
      <c r="H33" s="6" t="s">
        <v>24</v>
      </c>
      <c r="I33" s="6" t="s">
        <v>25</v>
      </c>
      <c r="J33" s="8" t="s">
        <v>131</v>
      </c>
    </row>
    <row r="34" customFormat="false" ht="45" hidden="false" customHeight="true" outlineLevel="0" collapsed="false">
      <c r="A34" s="3" t="s">
        <v>127</v>
      </c>
      <c r="B34" s="4" t="s">
        <v>132</v>
      </c>
      <c r="C34" s="5" t="s">
        <v>13</v>
      </c>
      <c r="D34" s="4" t="s">
        <v>133</v>
      </c>
      <c r="E34" s="6" t="n">
        <v>8</v>
      </c>
      <c r="F34" s="7" t="s">
        <v>23</v>
      </c>
      <c r="G34" s="6" t="s">
        <v>130</v>
      </c>
      <c r="H34" s="6" t="s">
        <v>24</v>
      </c>
      <c r="I34" s="6" t="s">
        <v>25</v>
      </c>
      <c r="J34" s="8" t="s">
        <v>134</v>
      </c>
    </row>
    <row r="35" customFormat="false" ht="45" hidden="false" customHeight="true" outlineLevel="0" collapsed="false">
      <c r="A35" s="21" t="s">
        <v>127</v>
      </c>
      <c r="B35" s="22" t="s">
        <v>135</v>
      </c>
      <c r="C35" s="23" t="s">
        <v>38</v>
      </c>
      <c r="D35" s="22" t="s">
        <v>136</v>
      </c>
      <c r="E35" s="24" t="n">
        <v>9</v>
      </c>
      <c r="F35" s="25" t="s">
        <v>47</v>
      </c>
      <c r="G35" s="24" t="s">
        <v>130</v>
      </c>
      <c r="H35" s="24" t="s">
        <v>24</v>
      </c>
      <c r="I35" s="24" t="s">
        <v>25</v>
      </c>
      <c r="J35" s="26" t="s">
        <v>137</v>
      </c>
    </row>
    <row r="36" customFormat="false" ht="45" hidden="false" customHeight="true" outlineLevel="0" collapsed="false">
      <c r="A36" s="21" t="s">
        <v>127</v>
      </c>
      <c r="B36" s="22" t="s">
        <v>138</v>
      </c>
      <c r="C36" s="23" t="s">
        <v>38</v>
      </c>
      <c r="D36" s="22" t="s">
        <v>139</v>
      </c>
      <c r="E36" s="24" t="n">
        <v>9</v>
      </c>
      <c r="F36" s="25" t="s">
        <v>47</v>
      </c>
      <c r="G36" s="24" t="s">
        <v>130</v>
      </c>
      <c r="H36" s="24" t="s">
        <v>24</v>
      </c>
      <c r="I36" s="24" t="s">
        <v>25</v>
      </c>
      <c r="J36" s="26" t="s">
        <v>140</v>
      </c>
    </row>
    <row r="37" customFormat="false" ht="45" hidden="false" customHeight="true" outlineLevel="0" collapsed="false">
      <c r="A37" s="9" t="s">
        <v>127</v>
      </c>
      <c r="B37" s="10" t="s">
        <v>141</v>
      </c>
      <c r="C37" s="11" t="s">
        <v>21</v>
      </c>
      <c r="D37" s="10" t="s">
        <v>142</v>
      </c>
      <c r="E37" s="12" t="n">
        <v>8</v>
      </c>
      <c r="F37" s="13" t="s">
        <v>23</v>
      </c>
      <c r="G37" s="12" t="s">
        <v>130</v>
      </c>
      <c r="H37" s="12" t="s">
        <v>24</v>
      </c>
      <c r="I37" s="12" t="s">
        <v>25</v>
      </c>
      <c r="J37" s="14" t="s">
        <v>143</v>
      </c>
    </row>
    <row r="38" customFormat="false" ht="45" hidden="false" customHeight="true" outlineLevel="0" collapsed="false">
      <c r="A38" s="9" t="s">
        <v>127</v>
      </c>
      <c r="B38" s="10" t="s">
        <v>144</v>
      </c>
      <c r="C38" s="11" t="s">
        <v>21</v>
      </c>
      <c r="D38" s="10" t="s">
        <v>145</v>
      </c>
      <c r="E38" s="12" t="n">
        <v>7</v>
      </c>
      <c r="F38" s="13" t="s">
        <v>70</v>
      </c>
      <c r="G38" s="12" t="s">
        <v>130</v>
      </c>
      <c r="H38" s="12" t="s">
        <v>24</v>
      </c>
      <c r="I38" s="12" t="s">
        <v>18</v>
      </c>
      <c r="J38" s="14" t="s">
        <v>146</v>
      </c>
    </row>
    <row r="39" customFormat="false" ht="45" hidden="false" customHeight="true" outlineLevel="0" collapsed="false">
      <c r="A39" s="27" t="s">
        <v>127</v>
      </c>
      <c r="B39" s="28" t="s">
        <v>147</v>
      </c>
      <c r="C39" s="29" t="s">
        <v>73</v>
      </c>
      <c r="D39" s="28" t="s">
        <v>148</v>
      </c>
      <c r="E39" s="30" t="n">
        <v>7</v>
      </c>
      <c r="F39" s="31" t="s">
        <v>70</v>
      </c>
      <c r="G39" s="30" t="s">
        <v>130</v>
      </c>
      <c r="H39" s="30" t="s">
        <v>24</v>
      </c>
      <c r="I39" s="30" t="s">
        <v>18</v>
      </c>
      <c r="J39" s="32" t="s">
        <v>149</v>
      </c>
    </row>
    <row r="40" customFormat="false" ht="45" hidden="false" customHeight="true" outlineLevel="0" collapsed="false">
      <c r="A40" s="27" t="s">
        <v>127</v>
      </c>
      <c r="B40" s="28" t="s">
        <v>150</v>
      </c>
      <c r="C40" s="29" t="s">
        <v>73</v>
      </c>
      <c r="D40" s="28" t="s">
        <v>151</v>
      </c>
      <c r="E40" s="30" t="n">
        <v>7</v>
      </c>
      <c r="F40" s="31" t="s">
        <v>70</v>
      </c>
      <c r="G40" s="30" t="s">
        <v>130</v>
      </c>
      <c r="H40" s="30" t="s">
        <v>24</v>
      </c>
      <c r="I40" s="30" t="s">
        <v>18</v>
      </c>
      <c r="J40" s="32" t="s">
        <v>152</v>
      </c>
    </row>
    <row r="41" customFormat="false" ht="45" hidden="false" customHeight="true" outlineLevel="0" collapsed="false">
      <c r="A41" s="9" t="s">
        <v>127</v>
      </c>
      <c r="B41" s="10" t="s">
        <v>153</v>
      </c>
      <c r="C41" s="11" t="s">
        <v>21</v>
      </c>
      <c r="D41" s="10" t="s">
        <v>154</v>
      </c>
      <c r="E41" s="12" t="n">
        <v>9</v>
      </c>
      <c r="F41" s="13" t="s">
        <v>47</v>
      </c>
      <c r="G41" s="12" t="s">
        <v>130</v>
      </c>
      <c r="H41" s="12" t="s">
        <v>24</v>
      </c>
      <c r="I41" s="12" t="s">
        <v>25</v>
      </c>
      <c r="J41" s="14" t="s">
        <v>155</v>
      </c>
    </row>
    <row r="42" customFormat="false" ht="45" hidden="false" customHeight="true" outlineLevel="0" collapsed="false">
      <c r="A42" s="9" t="s">
        <v>127</v>
      </c>
      <c r="B42" s="10" t="s">
        <v>156</v>
      </c>
      <c r="C42" s="11" t="s">
        <v>21</v>
      </c>
      <c r="D42" s="10" t="s">
        <v>80</v>
      </c>
      <c r="E42" s="12" t="n">
        <v>8</v>
      </c>
      <c r="F42" s="13" t="s">
        <v>23</v>
      </c>
      <c r="G42" s="12" t="s">
        <v>130</v>
      </c>
      <c r="H42" s="12" t="s">
        <v>24</v>
      </c>
      <c r="I42" s="12" t="s">
        <v>25</v>
      </c>
      <c r="J42" s="14" t="s">
        <v>85</v>
      </c>
    </row>
    <row r="43" customFormat="false" ht="45" hidden="false" customHeight="true" outlineLevel="0" collapsed="false">
      <c r="A43" s="27" t="s">
        <v>157</v>
      </c>
      <c r="B43" s="28" t="s">
        <v>158</v>
      </c>
      <c r="C43" s="29" t="s">
        <v>73</v>
      </c>
      <c r="D43" s="28" t="s">
        <v>159</v>
      </c>
      <c r="E43" s="30" t="n">
        <v>7</v>
      </c>
      <c r="F43" s="31" t="s">
        <v>70</v>
      </c>
      <c r="G43" s="30" t="s">
        <v>160</v>
      </c>
      <c r="H43" s="30" t="s">
        <v>24</v>
      </c>
      <c r="I43" s="30" t="s">
        <v>18</v>
      </c>
      <c r="J43" s="32" t="s">
        <v>161</v>
      </c>
    </row>
    <row r="44" customFormat="false" ht="45" hidden="false" customHeight="true" outlineLevel="0" collapsed="false">
      <c r="A44" s="27" t="s">
        <v>157</v>
      </c>
      <c r="B44" s="28" t="s">
        <v>162</v>
      </c>
      <c r="C44" s="29" t="s">
        <v>73</v>
      </c>
      <c r="D44" s="28" t="s">
        <v>163</v>
      </c>
      <c r="E44" s="30" t="n">
        <v>5</v>
      </c>
      <c r="F44" s="31" t="s">
        <v>29</v>
      </c>
      <c r="G44" s="30" t="s">
        <v>160</v>
      </c>
      <c r="H44" s="30" t="s">
        <v>17</v>
      </c>
      <c r="I44" s="30" t="s">
        <v>18</v>
      </c>
      <c r="J44" s="32" t="s">
        <v>164</v>
      </c>
    </row>
    <row r="45" customFormat="false" ht="45" hidden="false" customHeight="true" outlineLevel="0" collapsed="false">
      <c r="A45" s="3" t="s">
        <v>157</v>
      </c>
      <c r="B45" s="4" t="s">
        <v>165</v>
      </c>
      <c r="C45" s="5" t="s">
        <v>13</v>
      </c>
      <c r="D45" s="4" t="s">
        <v>166</v>
      </c>
      <c r="E45" s="6" t="n">
        <v>8</v>
      </c>
      <c r="F45" s="7" t="s">
        <v>23</v>
      </c>
      <c r="G45" s="6" t="s">
        <v>160</v>
      </c>
      <c r="H45" s="6" t="s">
        <v>24</v>
      </c>
      <c r="I45" s="6" t="s">
        <v>25</v>
      </c>
      <c r="J45" s="8" t="s">
        <v>167</v>
      </c>
    </row>
    <row r="46" customFormat="false" ht="45" hidden="false" customHeight="true" outlineLevel="0" collapsed="false">
      <c r="A46" s="3" t="s">
        <v>157</v>
      </c>
      <c r="B46" s="4" t="s">
        <v>168</v>
      </c>
      <c r="C46" s="5" t="s">
        <v>13</v>
      </c>
      <c r="D46" s="4" t="s">
        <v>169</v>
      </c>
      <c r="E46" s="6" t="n">
        <v>7</v>
      </c>
      <c r="F46" s="7" t="s">
        <v>70</v>
      </c>
      <c r="G46" s="6" t="s">
        <v>160</v>
      </c>
      <c r="H46" s="6" t="s">
        <v>24</v>
      </c>
      <c r="I46" s="6" t="s">
        <v>18</v>
      </c>
      <c r="J46" s="8" t="s">
        <v>170</v>
      </c>
    </row>
    <row r="47" customFormat="false" ht="45" hidden="false" customHeight="true" outlineLevel="0" collapsed="false">
      <c r="A47" s="3" t="s">
        <v>157</v>
      </c>
      <c r="B47" s="4" t="s">
        <v>171</v>
      </c>
      <c r="C47" s="5" t="s">
        <v>13</v>
      </c>
      <c r="D47" s="4" t="s">
        <v>172</v>
      </c>
      <c r="E47" s="6" t="n">
        <v>7</v>
      </c>
      <c r="F47" s="7" t="s">
        <v>70</v>
      </c>
      <c r="G47" s="6" t="s">
        <v>160</v>
      </c>
      <c r="H47" s="6" t="s">
        <v>24</v>
      </c>
      <c r="I47" s="6" t="s">
        <v>18</v>
      </c>
      <c r="J47" s="8" t="s">
        <v>173</v>
      </c>
    </row>
    <row r="48" customFormat="false" ht="45" hidden="false" customHeight="true" outlineLevel="0" collapsed="false">
      <c r="A48" s="33" t="s">
        <v>157</v>
      </c>
      <c r="B48" s="34" t="s">
        <v>174</v>
      </c>
      <c r="C48" s="35" t="s">
        <v>175</v>
      </c>
      <c r="D48" s="34" t="s">
        <v>176</v>
      </c>
      <c r="E48" s="36" t="n">
        <v>0</v>
      </c>
      <c r="F48" s="37" t="s">
        <v>177</v>
      </c>
      <c r="G48" s="36" t="s">
        <v>160</v>
      </c>
      <c r="H48" s="38" t="s">
        <v>178</v>
      </c>
      <c r="I48" s="36" t="s">
        <v>35</v>
      </c>
      <c r="J48" s="39" t="s">
        <v>179</v>
      </c>
    </row>
    <row r="49" customFormat="false" ht="45" hidden="false" customHeight="true" outlineLevel="0" collapsed="false">
      <c r="A49" s="27" t="s">
        <v>157</v>
      </c>
      <c r="B49" s="28" t="s">
        <v>180</v>
      </c>
      <c r="C49" s="29" t="s">
        <v>73</v>
      </c>
      <c r="D49" s="28" t="s">
        <v>181</v>
      </c>
      <c r="E49" s="30" t="n">
        <v>5</v>
      </c>
      <c r="F49" s="31" t="s">
        <v>29</v>
      </c>
      <c r="G49" s="30" t="s">
        <v>160</v>
      </c>
      <c r="H49" s="30" t="s">
        <v>17</v>
      </c>
      <c r="I49" s="30" t="s">
        <v>18</v>
      </c>
      <c r="J49" s="32" t="s">
        <v>182</v>
      </c>
    </row>
    <row r="50" customFormat="false" ht="45" hidden="false" customHeight="true" outlineLevel="0" collapsed="false">
      <c r="A50" s="27" t="s">
        <v>157</v>
      </c>
      <c r="B50" s="28" t="s">
        <v>183</v>
      </c>
      <c r="C50" s="29" t="s">
        <v>73</v>
      </c>
      <c r="D50" s="28" t="s">
        <v>184</v>
      </c>
      <c r="E50" s="30" t="n">
        <v>7</v>
      </c>
      <c r="F50" s="31" t="s">
        <v>70</v>
      </c>
      <c r="G50" s="30" t="s">
        <v>160</v>
      </c>
      <c r="H50" s="30" t="s">
        <v>24</v>
      </c>
      <c r="I50" s="30" t="s">
        <v>18</v>
      </c>
      <c r="J50" s="32" t="s">
        <v>185</v>
      </c>
    </row>
    <row r="51" customFormat="false" ht="45" hidden="false" customHeight="true" outlineLevel="0" collapsed="false">
      <c r="A51" s="9" t="s">
        <v>186</v>
      </c>
      <c r="B51" s="10" t="s">
        <v>187</v>
      </c>
      <c r="C51" s="11" t="s">
        <v>21</v>
      </c>
      <c r="D51" s="10" t="s">
        <v>188</v>
      </c>
      <c r="E51" s="12" t="n">
        <v>9</v>
      </c>
      <c r="F51" s="13" t="s">
        <v>47</v>
      </c>
      <c r="G51" s="12" t="s">
        <v>189</v>
      </c>
      <c r="H51" s="12" t="s">
        <v>24</v>
      </c>
      <c r="I51" s="12" t="s">
        <v>25</v>
      </c>
      <c r="J51" s="14" t="s">
        <v>190</v>
      </c>
    </row>
    <row r="52" customFormat="false" ht="45" hidden="false" customHeight="true" outlineLevel="0" collapsed="false">
      <c r="A52" s="27" t="s">
        <v>186</v>
      </c>
      <c r="B52" s="28" t="s">
        <v>191</v>
      </c>
      <c r="C52" s="29" t="s">
        <v>73</v>
      </c>
      <c r="D52" s="28" t="s">
        <v>192</v>
      </c>
      <c r="E52" s="30" t="n">
        <v>8</v>
      </c>
      <c r="F52" s="31" t="s">
        <v>23</v>
      </c>
      <c r="G52" s="30" t="s">
        <v>189</v>
      </c>
      <c r="H52" s="30" t="s">
        <v>24</v>
      </c>
      <c r="I52" s="30" t="s">
        <v>25</v>
      </c>
      <c r="J52" s="32" t="s">
        <v>193</v>
      </c>
    </row>
    <row r="53" customFormat="false" ht="45" hidden="false" customHeight="true" outlineLevel="0" collapsed="false">
      <c r="A53" s="3" t="s">
        <v>186</v>
      </c>
      <c r="B53" s="4" t="s">
        <v>194</v>
      </c>
      <c r="C53" s="5" t="s">
        <v>13</v>
      </c>
      <c r="D53" s="4" t="s">
        <v>195</v>
      </c>
      <c r="E53" s="6" t="n">
        <v>9</v>
      </c>
      <c r="F53" s="7" t="s">
        <v>47</v>
      </c>
      <c r="G53" s="6" t="s">
        <v>189</v>
      </c>
      <c r="H53" s="6" t="s">
        <v>24</v>
      </c>
      <c r="I53" s="6" t="s">
        <v>25</v>
      </c>
      <c r="J53" s="8" t="s">
        <v>196</v>
      </c>
    </row>
    <row r="54" customFormat="false" ht="45" hidden="false" customHeight="true" outlineLevel="0" collapsed="false">
      <c r="A54" s="3" t="s">
        <v>186</v>
      </c>
      <c r="B54" s="4" t="s">
        <v>197</v>
      </c>
      <c r="C54" s="5" t="s">
        <v>13</v>
      </c>
      <c r="D54" s="4" t="s">
        <v>198</v>
      </c>
      <c r="E54" s="6" t="n">
        <v>9</v>
      </c>
      <c r="F54" s="7" t="s">
        <v>47</v>
      </c>
      <c r="G54" s="6" t="s">
        <v>189</v>
      </c>
      <c r="H54" s="6" t="s">
        <v>24</v>
      </c>
      <c r="I54" s="6" t="s">
        <v>25</v>
      </c>
      <c r="J54" s="8" t="s">
        <v>199</v>
      </c>
    </row>
    <row r="55" customFormat="false" ht="45" hidden="false" customHeight="true" outlineLevel="0" collapsed="false">
      <c r="A55" s="3" t="s">
        <v>186</v>
      </c>
      <c r="B55" s="4" t="s">
        <v>200</v>
      </c>
      <c r="C55" s="5" t="s">
        <v>13</v>
      </c>
      <c r="D55" s="4" t="s">
        <v>201</v>
      </c>
      <c r="E55" s="6" t="n">
        <v>7</v>
      </c>
      <c r="F55" s="7" t="s">
        <v>70</v>
      </c>
      <c r="G55" s="6" t="s">
        <v>189</v>
      </c>
      <c r="H55" s="6" t="s">
        <v>24</v>
      </c>
      <c r="I55" s="6" t="s">
        <v>18</v>
      </c>
      <c r="J55" s="8" t="s">
        <v>202</v>
      </c>
    </row>
    <row r="56" customFormat="false" ht="45" hidden="false" customHeight="true" outlineLevel="0" collapsed="false">
      <c r="A56" s="21" t="s">
        <v>186</v>
      </c>
      <c r="B56" s="22" t="s">
        <v>203</v>
      </c>
      <c r="C56" s="23" t="s">
        <v>38</v>
      </c>
      <c r="D56" s="22" t="s">
        <v>204</v>
      </c>
      <c r="E56" s="24" t="n">
        <v>10</v>
      </c>
      <c r="F56" s="25" t="s">
        <v>40</v>
      </c>
      <c r="G56" s="24" t="s">
        <v>189</v>
      </c>
      <c r="H56" s="24" t="s">
        <v>24</v>
      </c>
      <c r="I56" s="24" t="s">
        <v>25</v>
      </c>
      <c r="J56" s="26" t="s">
        <v>205</v>
      </c>
    </row>
    <row r="57" customFormat="false" ht="45" hidden="false" customHeight="true" outlineLevel="0" collapsed="false">
      <c r="A57" s="3" t="s">
        <v>186</v>
      </c>
      <c r="B57" s="4" t="s">
        <v>206</v>
      </c>
      <c r="C57" s="5" t="s">
        <v>13</v>
      </c>
      <c r="D57" s="4" t="s">
        <v>207</v>
      </c>
      <c r="E57" s="6" t="n">
        <v>7</v>
      </c>
      <c r="F57" s="7" t="s">
        <v>70</v>
      </c>
      <c r="G57" s="6" t="s">
        <v>189</v>
      </c>
      <c r="H57" s="6" t="s">
        <v>24</v>
      </c>
      <c r="I57" s="6" t="s">
        <v>18</v>
      </c>
      <c r="J57" s="8" t="s">
        <v>208</v>
      </c>
    </row>
    <row r="58" customFormat="false" ht="45" hidden="false" customHeight="true" outlineLevel="0" collapsed="false">
      <c r="A58" s="27" t="s">
        <v>186</v>
      </c>
      <c r="B58" s="28" t="s">
        <v>209</v>
      </c>
      <c r="C58" s="29" t="s">
        <v>73</v>
      </c>
      <c r="D58" s="28" t="s">
        <v>210</v>
      </c>
      <c r="E58" s="30" t="n">
        <v>3</v>
      </c>
      <c r="F58" s="31" t="s">
        <v>55</v>
      </c>
      <c r="G58" s="30" t="s">
        <v>189</v>
      </c>
      <c r="H58" s="30" t="s">
        <v>17</v>
      </c>
      <c r="I58" s="30" t="s">
        <v>35</v>
      </c>
      <c r="J58" s="32" t="s">
        <v>211</v>
      </c>
    </row>
    <row r="59" customFormat="false" ht="45" hidden="false" customHeight="true" outlineLevel="0" collapsed="false">
      <c r="A59" s="9" t="s">
        <v>212</v>
      </c>
      <c r="B59" s="10" t="s">
        <v>213</v>
      </c>
      <c r="C59" s="11" t="s">
        <v>21</v>
      </c>
      <c r="D59" s="10" t="s">
        <v>214</v>
      </c>
      <c r="E59" s="12" t="n">
        <v>8</v>
      </c>
      <c r="F59" s="13" t="s">
        <v>23</v>
      </c>
      <c r="G59" s="12" t="s">
        <v>215</v>
      </c>
      <c r="H59" s="12" t="s">
        <v>24</v>
      </c>
      <c r="I59" s="12" t="s">
        <v>25</v>
      </c>
      <c r="J59" s="14" t="s">
        <v>216</v>
      </c>
    </row>
    <row r="60" customFormat="false" ht="45" hidden="false" customHeight="true" outlineLevel="0" collapsed="false">
      <c r="A60" s="3" t="s">
        <v>212</v>
      </c>
      <c r="B60" s="4" t="s">
        <v>217</v>
      </c>
      <c r="C60" s="5" t="s">
        <v>13</v>
      </c>
      <c r="D60" s="4" t="s">
        <v>218</v>
      </c>
      <c r="E60" s="6" t="n">
        <v>2</v>
      </c>
      <c r="F60" s="7" t="s">
        <v>34</v>
      </c>
      <c r="G60" s="6" t="s">
        <v>215</v>
      </c>
      <c r="H60" s="6" t="s">
        <v>17</v>
      </c>
      <c r="I60" s="6" t="s">
        <v>35</v>
      </c>
      <c r="J60" s="8" t="s">
        <v>219</v>
      </c>
    </row>
    <row r="61" customFormat="false" ht="45" hidden="false" customHeight="true" outlineLevel="0" collapsed="false">
      <c r="A61" s="27" t="s">
        <v>212</v>
      </c>
      <c r="B61" s="28" t="s">
        <v>220</v>
      </c>
      <c r="C61" s="29" t="s">
        <v>73</v>
      </c>
      <c r="D61" s="28" t="s">
        <v>221</v>
      </c>
      <c r="E61" s="30" t="n">
        <v>7</v>
      </c>
      <c r="F61" s="31" t="s">
        <v>70</v>
      </c>
      <c r="G61" s="30" t="s">
        <v>215</v>
      </c>
      <c r="H61" s="30" t="s">
        <v>24</v>
      </c>
      <c r="I61" s="30" t="s">
        <v>18</v>
      </c>
      <c r="J61" s="32" t="s">
        <v>222</v>
      </c>
    </row>
    <row r="62" customFormat="false" ht="45" hidden="false" customHeight="true" outlineLevel="0" collapsed="false">
      <c r="A62" s="33" t="s">
        <v>212</v>
      </c>
      <c r="B62" s="34" t="s">
        <v>223</v>
      </c>
      <c r="C62" s="35" t="s">
        <v>175</v>
      </c>
      <c r="D62" s="34" t="s">
        <v>224</v>
      </c>
      <c r="E62" s="36" t="n">
        <v>0</v>
      </c>
      <c r="F62" s="37" t="s">
        <v>177</v>
      </c>
      <c r="G62" s="36" t="s">
        <v>215</v>
      </c>
      <c r="H62" s="38" t="s">
        <v>178</v>
      </c>
      <c r="I62" s="36" t="s">
        <v>35</v>
      </c>
      <c r="J62" s="39" t="s">
        <v>225</v>
      </c>
    </row>
    <row r="63" customFormat="false" ht="45" hidden="false" customHeight="true" outlineLevel="0" collapsed="false">
      <c r="A63" s="33" t="s">
        <v>226</v>
      </c>
      <c r="B63" s="34" t="s">
        <v>227</v>
      </c>
      <c r="C63" s="35" t="s">
        <v>175</v>
      </c>
      <c r="D63" s="34" t="s">
        <v>228</v>
      </c>
      <c r="E63" s="36" t="n">
        <v>0</v>
      </c>
      <c r="F63" s="37" t="s">
        <v>177</v>
      </c>
      <c r="G63" s="36" t="s">
        <v>215</v>
      </c>
      <c r="H63" s="38" t="s">
        <v>178</v>
      </c>
      <c r="I63" s="36" t="s">
        <v>35</v>
      </c>
      <c r="J63" s="39" t="s">
        <v>229</v>
      </c>
    </row>
    <row r="64" customFormat="false" ht="45" hidden="false" customHeight="true" outlineLevel="0" collapsed="false">
      <c r="A64" s="33" t="s">
        <v>226</v>
      </c>
      <c r="B64" s="34" t="s">
        <v>230</v>
      </c>
      <c r="C64" s="35" t="s">
        <v>175</v>
      </c>
      <c r="D64" s="34" t="s">
        <v>231</v>
      </c>
      <c r="E64" s="36" t="n">
        <v>0</v>
      </c>
      <c r="F64" s="37" t="s">
        <v>177</v>
      </c>
      <c r="G64" s="36" t="s">
        <v>215</v>
      </c>
      <c r="H64" s="38" t="s">
        <v>178</v>
      </c>
      <c r="I64" s="36" t="s">
        <v>35</v>
      </c>
      <c r="J64" s="39" t="s">
        <v>229</v>
      </c>
    </row>
    <row r="65" customFormat="false" ht="45" hidden="false" customHeight="true" outlineLevel="0" collapsed="false">
      <c r="A65" s="33" t="s">
        <v>226</v>
      </c>
      <c r="B65" s="34" t="s">
        <v>232</v>
      </c>
      <c r="C65" s="35" t="s">
        <v>175</v>
      </c>
      <c r="D65" s="34" t="s">
        <v>233</v>
      </c>
      <c r="E65" s="36" t="n">
        <v>2</v>
      </c>
      <c r="F65" s="37" t="s">
        <v>34</v>
      </c>
      <c r="G65" s="36" t="s">
        <v>215</v>
      </c>
      <c r="H65" s="38" t="s">
        <v>178</v>
      </c>
      <c r="I65" s="36" t="s">
        <v>35</v>
      </c>
      <c r="J65" s="39" t="s">
        <v>234</v>
      </c>
    </row>
    <row r="66" customFormat="false" ht="45" hidden="false" customHeight="true" outlineLevel="0" collapsed="false">
      <c r="A66" s="3" t="s">
        <v>226</v>
      </c>
      <c r="B66" s="4" t="s">
        <v>235</v>
      </c>
      <c r="C66" s="5" t="s">
        <v>13</v>
      </c>
      <c r="D66" s="4" t="s">
        <v>236</v>
      </c>
      <c r="E66" s="6" t="n">
        <v>7</v>
      </c>
      <c r="F66" s="7" t="s">
        <v>70</v>
      </c>
      <c r="G66" s="6" t="s">
        <v>215</v>
      </c>
      <c r="H66" s="6" t="s">
        <v>24</v>
      </c>
      <c r="I66" s="6" t="s">
        <v>18</v>
      </c>
      <c r="J66" s="8" t="s">
        <v>237</v>
      </c>
    </row>
    <row r="67" customFormat="false" ht="45" hidden="false" customHeight="true" outlineLevel="0" collapsed="false">
      <c r="A67" s="21" t="s">
        <v>226</v>
      </c>
      <c r="B67" s="22" t="s">
        <v>238</v>
      </c>
      <c r="C67" s="23" t="s">
        <v>38</v>
      </c>
      <c r="D67" s="22" t="s">
        <v>239</v>
      </c>
      <c r="E67" s="24" t="n">
        <v>10</v>
      </c>
      <c r="F67" s="25" t="s">
        <v>40</v>
      </c>
      <c r="G67" s="24" t="s">
        <v>215</v>
      </c>
      <c r="H67" s="24" t="s">
        <v>24</v>
      </c>
      <c r="I67" s="24" t="s">
        <v>25</v>
      </c>
      <c r="J67" s="26" t="s">
        <v>240</v>
      </c>
    </row>
    <row r="68" customFormat="false" ht="45" hidden="false" customHeight="true" outlineLevel="0" collapsed="false">
      <c r="A68" s="33" t="s">
        <v>226</v>
      </c>
      <c r="B68" s="34" t="s">
        <v>241</v>
      </c>
      <c r="C68" s="35" t="s">
        <v>175</v>
      </c>
      <c r="D68" s="34" t="s">
        <v>242</v>
      </c>
      <c r="E68" s="36" t="n">
        <v>5</v>
      </c>
      <c r="F68" s="37" t="s">
        <v>29</v>
      </c>
      <c r="G68" s="36" t="s">
        <v>215</v>
      </c>
      <c r="H68" s="38" t="s">
        <v>178</v>
      </c>
      <c r="I68" s="36" t="s">
        <v>18</v>
      </c>
      <c r="J68" s="39" t="s">
        <v>111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4" min="3" style="0" width="42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24" hidden="false" customHeight="true" outlineLevel="0" collapsed="false">
      <c r="A1" s="1" t="s">
        <v>243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0" t="s">
        <v>244</v>
      </c>
      <c r="B2" s="40" t="s">
        <v>2</v>
      </c>
      <c r="C2" s="40" t="s">
        <v>245</v>
      </c>
      <c r="D2" s="40" t="s">
        <v>246</v>
      </c>
      <c r="E2" s="40" t="s">
        <v>4</v>
      </c>
      <c r="F2" s="40" t="s">
        <v>247</v>
      </c>
      <c r="G2" s="40" t="s">
        <v>6</v>
      </c>
      <c r="H2" s="40" t="s">
        <v>10</v>
      </c>
    </row>
    <row r="3" customFormat="false" ht="60" hidden="false" customHeight="true" outlineLevel="0" collapsed="false">
      <c r="A3" s="41" t="s">
        <v>248</v>
      </c>
      <c r="B3" s="42" t="s">
        <v>12</v>
      </c>
      <c r="C3" s="43" t="s">
        <v>249</v>
      </c>
      <c r="D3" s="43" t="s">
        <v>250</v>
      </c>
      <c r="E3" s="44" t="s">
        <v>14</v>
      </c>
      <c r="F3" s="45" t="n">
        <v>6</v>
      </c>
      <c r="G3" s="7" t="s">
        <v>15</v>
      </c>
      <c r="H3" s="46" t="s">
        <v>19</v>
      </c>
    </row>
    <row r="4" customFormat="false" ht="60" hidden="false" customHeight="true" outlineLevel="0" collapsed="false">
      <c r="A4" s="47" t="s">
        <v>251</v>
      </c>
      <c r="B4" s="48" t="s">
        <v>20</v>
      </c>
      <c r="C4" s="49" t="s">
        <v>252</v>
      </c>
      <c r="D4" s="49" t="s">
        <v>253</v>
      </c>
      <c r="E4" s="50" t="s">
        <v>22</v>
      </c>
      <c r="F4" s="51" t="n">
        <v>8</v>
      </c>
      <c r="G4" s="13" t="s">
        <v>23</v>
      </c>
      <c r="H4" s="52" t="s">
        <v>26</v>
      </c>
    </row>
    <row r="5" customFormat="false" ht="60" hidden="false" customHeight="true" outlineLevel="0" collapsed="false">
      <c r="A5" s="41" t="s">
        <v>254</v>
      </c>
      <c r="B5" s="42" t="s">
        <v>27</v>
      </c>
      <c r="C5" s="43" t="s">
        <v>255</v>
      </c>
      <c r="D5" s="43" t="s">
        <v>256</v>
      </c>
      <c r="E5" s="44" t="s">
        <v>28</v>
      </c>
      <c r="F5" s="45" t="n">
        <v>5</v>
      </c>
      <c r="G5" s="7" t="s">
        <v>29</v>
      </c>
      <c r="H5" s="46" t="s">
        <v>30</v>
      </c>
    </row>
    <row r="6" customFormat="false" ht="60" hidden="false" customHeight="true" outlineLevel="0" collapsed="false">
      <c r="A6" s="53" t="s">
        <v>257</v>
      </c>
      <c r="B6" s="54" t="s">
        <v>31</v>
      </c>
      <c r="C6" s="55" t="s">
        <v>258</v>
      </c>
      <c r="D6" s="55" t="s">
        <v>259</v>
      </c>
      <c r="E6" s="56" t="s">
        <v>33</v>
      </c>
      <c r="F6" s="57" t="n">
        <v>2</v>
      </c>
      <c r="G6" s="19" t="s">
        <v>34</v>
      </c>
      <c r="H6" s="58" t="s">
        <v>36</v>
      </c>
    </row>
    <row r="7" customFormat="false" ht="60" hidden="false" customHeight="true" outlineLevel="0" collapsed="false">
      <c r="A7" s="59" t="s">
        <v>260</v>
      </c>
      <c r="B7" s="60" t="s">
        <v>37</v>
      </c>
      <c r="C7" s="61" t="s">
        <v>261</v>
      </c>
      <c r="D7" s="61" t="s">
        <v>262</v>
      </c>
      <c r="E7" s="62" t="s">
        <v>39</v>
      </c>
      <c r="F7" s="63" t="n">
        <v>10</v>
      </c>
      <c r="G7" s="25" t="s">
        <v>40</v>
      </c>
      <c r="H7" s="64" t="s">
        <v>41</v>
      </c>
    </row>
    <row r="8" customFormat="false" ht="60" hidden="false" customHeight="true" outlineLevel="0" collapsed="false">
      <c r="A8" s="47" t="s">
        <v>263</v>
      </c>
      <c r="B8" s="48" t="s">
        <v>42</v>
      </c>
      <c r="C8" s="49" t="s">
        <v>264</v>
      </c>
      <c r="D8" s="49" t="s">
        <v>265</v>
      </c>
      <c r="E8" s="50" t="s">
        <v>43</v>
      </c>
      <c r="F8" s="51" t="n">
        <v>8</v>
      </c>
      <c r="G8" s="13" t="s">
        <v>23</v>
      </c>
      <c r="H8" s="52" t="s">
        <v>44</v>
      </c>
    </row>
    <row r="9" customFormat="false" ht="60" hidden="false" customHeight="true" outlineLevel="0" collapsed="false">
      <c r="A9" s="47" t="s">
        <v>266</v>
      </c>
      <c r="B9" s="48" t="s">
        <v>45</v>
      </c>
      <c r="C9" s="49" t="s">
        <v>267</v>
      </c>
      <c r="D9" s="49" t="s">
        <v>268</v>
      </c>
      <c r="E9" s="50" t="s">
        <v>46</v>
      </c>
      <c r="F9" s="51" t="n">
        <v>9</v>
      </c>
      <c r="G9" s="13" t="s">
        <v>47</v>
      </c>
      <c r="H9" s="52" t="s">
        <v>48</v>
      </c>
    </row>
    <row r="10" customFormat="false" ht="60" hidden="false" customHeight="true" outlineLevel="0" collapsed="false">
      <c r="A10" s="59" t="s">
        <v>269</v>
      </c>
      <c r="B10" s="60" t="s">
        <v>49</v>
      </c>
      <c r="C10" s="61" t="s">
        <v>270</v>
      </c>
      <c r="D10" s="61" t="s">
        <v>271</v>
      </c>
      <c r="E10" s="62" t="s">
        <v>50</v>
      </c>
      <c r="F10" s="63" t="n">
        <v>8</v>
      </c>
      <c r="G10" s="25" t="s">
        <v>23</v>
      </c>
      <c r="H10" s="64" t="s">
        <v>51</v>
      </c>
    </row>
    <row r="11" customFormat="false" ht="15" hidden="false" customHeight="false" outlineLevel="0" collapsed="false">
      <c r="A11" s="65" t="s">
        <v>272</v>
      </c>
      <c r="B11" s="65"/>
      <c r="C11" s="65"/>
      <c r="D11" s="65"/>
      <c r="E11" s="65"/>
      <c r="F11" s="65"/>
      <c r="G11" s="65"/>
      <c r="H11" s="65"/>
    </row>
  </sheetData>
  <mergeCells count="2">
    <mergeCell ref="A1:H1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4" min="3" style="0" width="42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24" hidden="false" customHeight="true" outlineLevel="0" collapsed="false">
      <c r="A1" s="1" t="s">
        <v>273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0" t="s">
        <v>244</v>
      </c>
      <c r="B2" s="40" t="s">
        <v>2</v>
      </c>
      <c r="C2" s="40" t="s">
        <v>245</v>
      </c>
      <c r="D2" s="40" t="s">
        <v>246</v>
      </c>
      <c r="E2" s="40" t="s">
        <v>4</v>
      </c>
      <c r="F2" s="40" t="s">
        <v>247</v>
      </c>
      <c r="G2" s="40" t="s">
        <v>6</v>
      </c>
      <c r="H2" s="40" t="s">
        <v>10</v>
      </c>
    </row>
    <row r="3" customFormat="false" ht="60" hidden="false" customHeight="true" outlineLevel="0" collapsed="false">
      <c r="A3" s="41" t="s">
        <v>274</v>
      </c>
      <c r="B3" s="42" t="s">
        <v>53</v>
      </c>
      <c r="C3" s="43" t="s">
        <v>275</v>
      </c>
      <c r="D3" s="43" t="s">
        <v>276</v>
      </c>
      <c r="E3" s="44" t="s">
        <v>54</v>
      </c>
      <c r="F3" s="45" t="n">
        <v>3</v>
      </c>
      <c r="G3" s="7" t="s">
        <v>55</v>
      </c>
      <c r="H3" s="46" t="s">
        <v>57</v>
      </c>
    </row>
    <row r="4" customFormat="false" ht="60" hidden="false" customHeight="true" outlineLevel="0" collapsed="false">
      <c r="A4" s="41" t="s">
        <v>277</v>
      </c>
      <c r="B4" s="42" t="s">
        <v>58</v>
      </c>
      <c r="C4" s="43" t="s">
        <v>278</v>
      </c>
      <c r="D4" s="43" t="s">
        <v>279</v>
      </c>
      <c r="E4" s="44" t="s">
        <v>59</v>
      </c>
      <c r="F4" s="45" t="n">
        <v>4</v>
      </c>
      <c r="G4" s="7" t="s">
        <v>60</v>
      </c>
      <c r="H4" s="46" t="s">
        <v>61</v>
      </c>
    </row>
    <row r="5" customFormat="false" ht="60" hidden="false" customHeight="true" outlineLevel="0" collapsed="false">
      <c r="A5" s="41" t="s">
        <v>280</v>
      </c>
      <c r="B5" s="42" t="s">
        <v>62</v>
      </c>
      <c r="C5" s="43" t="s">
        <v>281</v>
      </c>
      <c r="D5" s="43" t="s">
        <v>282</v>
      </c>
      <c r="E5" s="44" t="s">
        <v>63</v>
      </c>
      <c r="F5" s="45" t="n">
        <v>4</v>
      </c>
      <c r="G5" s="7" t="s">
        <v>60</v>
      </c>
      <c r="H5" s="46" t="s">
        <v>64</v>
      </c>
    </row>
    <row r="6" customFormat="false" ht="60" hidden="false" customHeight="true" outlineLevel="0" collapsed="false">
      <c r="A6" s="47" t="s">
        <v>283</v>
      </c>
      <c r="B6" s="48" t="s">
        <v>65</v>
      </c>
      <c r="C6" s="49" t="s">
        <v>284</v>
      </c>
      <c r="D6" s="49" t="s">
        <v>285</v>
      </c>
      <c r="E6" s="50" t="s">
        <v>66</v>
      </c>
      <c r="F6" s="51" t="n">
        <v>8</v>
      </c>
      <c r="G6" s="13" t="s">
        <v>23</v>
      </c>
      <c r="H6" s="52" t="s">
        <v>67</v>
      </c>
    </row>
    <row r="7" customFormat="false" ht="60" hidden="false" customHeight="true" outlineLevel="0" collapsed="false">
      <c r="A7" s="47" t="s">
        <v>286</v>
      </c>
      <c r="B7" s="48" t="s">
        <v>68</v>
      </c>
      <c r="C7" s="49" t="s">
        <v>287</v>
      </c>
      <c r="D7" s="49" t="s">
        <v>288</v>
      </c>
      <c r="E7" s="50" t="s">
        <v>69</v>
      </c>
      <c r="F7" s="51" t="n">
        <v>7</v>
      </c>
      <c r="G7" s="13" t="s">
        <v>70</v>
      </c>
      <c r="H7" s="52" t="s">
        <v>71</v>
      </c>
    </row>
    <row r="8" customFormat="false" ht="60" hidden="false" customHeight="true" outlineLevel="0" collapsed="false">
      <c r="A8" s="66" t="s">
        <v>289</v>
      </c>
      <c r="B8" s="67" t="s">
        <v>72</v>
      </c>
      <c r="C8" s="68" t="s">
        <v>290</v>
      </c>
      <c r="D8" s="68" t="s">
        <v>291</v>
      </c>
      <c r="E8" s="69" t="s">
        <v>74</v>
      </c>
      <c r="F8" s="70" t="n">
        <v>2</v>
      </c>
      <c r="G8" s="31" t="s">
        <v>34</v>
      </c>
      <c r="H8" s="71" t="s">
        <v>75</v>
      </c>
    </row>
    <row r="9" customFormat="false" ht="60" hidden="false" customHeight="true" outlineLevel="0" collapsed="false">
      <c r="A9" s="66" t="s">
        <v>292</v>
      </c>
      <c r="B9" s="67" t="s">
        <v>76</v>
      </c>
      <c r="C9" s="68" t="s">
        <v>293</v>
      </c>
      <c r="D9" s="68" t="s">
        <v>294</v>
      </c>
      <c r="E9" s="69" t="s">
        <v>77</v>
      </c>
      <c r="F9" s="70" t="n">
        <v>7</v>
      </c>
      <c r="G9" s="31" t="s">
        <v>70</v>
      </c>
      <c r="H9" s="71" t="s">
        <v>78</v>
      </c>
    </row>
    <row r="10" customFormat="false" ht="60" hidden="false" customHeight="true" outlineLevel="0" collapsed="false">
      <c r="A10" s="47" t="s">
        <v>295</v>
      </c>
      <c r="B10" s="48" t="s">
        <v>79</v>
      </c>
      <c r="C10" s="49" t="s">
        <v>296</v>
      </c>
      <c r="D10" s="49" t="s">
        <v>297</v>
      </c>
      <c r="E10" s="50" t="s">
        <v>80</v>
      </c>
      <c r="F10" s="51" t="n">
        <v>8</v>
      </c>
      <c r="G10" s="13" t="s">
        <v>23</v>
      </c>
      <c r="H10" s="52" t="s">
        <v>81</v>
      </c>
    </row>
    <row r="11" customFormat="false" ht="60" hidden="false" customHeight="true" outlineLevel="0" collapsed="false">
      <c r="A11" s="53" t="s">
        <v>298</v>
      </c>
      <c r="B11" s="54" t="s">
        <v>82</v>
      </c>
      <c r="C11" s="55" t="s">
        <v>299</v>
      </c>
      <c r="D11" s="55" t="s">
        <v>300</v>
      </c>
      <c r="E11" s="56" t="s">
        <v>83</v>
      </c>
      <c r="F11" s="57" t="n">
        <v>1</v>
      </c>
      <c r="G11" s="19" t="s">
        <v>84</v>
      </c>
      <c r="H11" s="58" t="s">
        <v>85</v>
      </c>
    </row>
    <row r="12" customFormat="false" ht="60" hidden="false" customHeight="true" outlineLevel="0" collapsed="false">
      <c r="A12" s="47" t="s">
        <v>301</v>
      </c>
      <c r="B12" s="48" t="s">
        <v>86</v>
      </c>
      <c r="C12" s="49" t="s">
        <v>302</v>
      </c>
      <c r="D12" s="49" t="s">
        <v>303</v>
      </c>
      <c r="E12" s="50" t="s">
        <v>87</v>
      </c>
      <c r="F12" s="51" t="n">
        <v>7</v>
      </c>
      <c r="G12" s="13" t="s">
        <v>70</v>
      </c>
      <c r="H12" s="52" t="s">
        <v>88</v>
      </c>
    </row>
    <row r="13" customFormat="false" ht="60" hidden="false" customHeight="true" outlineLevel="0" collapsed="false">
      <c r="A13" s="66" t="s">
        <v>304</v>
      </c>
      <c r="B13" s="67" t="s">
        <v>89</v>
      </c>
      <c r="C13" s="68" t="s">
        <v>305</v>
      </c>
      <c r="D13" s="68" t="s">
        <v>306</v>
      </c>
      <c r="E13" s="69" t="s">
        <v>90</v>
      </c>
      <c r="F13" s="70" t="n">
        <v>6</v>
      </c>
      <c r="G13" s="31" t="s">
        <v>15</v>
      </c>
      <c r="H13" s="71" t="s">
        <v>91</v>
      </c>
    </row>
    <row r="14" customFormat="false" ht="60" hidden="false" customHeight="true" outlineLevel="0" collapsed="false">
      <c r="A14" s="66" t="s">
        <v>307</v>
      </c>
      <c r="B14" s="67" t="s">
        <v>92</v>
      </c>
      <c r="C14" s="68" t="s">
        <v>308</v>
      </c>
      <c r="D14" s="68" t="s">
        <v>309</v>
      </c>
      <c r="E14" s="69" t="s">
        <v>93</v>
      </c>
      <c r="F14" s="70" t="n">
        <v>6</v>
      </c>
      <c r="G14" s="31" t="s">
        <v>15</v>
      </c>
      <c r="H14" s="71" t="s">
        <v>94</v>
      </c>
    </row>
    <row r="15" customFormat="false" ht="15" hidden="false" customHeight="false" outlineLevel="0" collapsed="false">
      <c r="A15" s="65" t="s">
        <v>310</v>
      </c>
      <c r="B15" s="65"/>
      <c r="C15" s="65"/>
      <c r="D15" s="65"/>
      <c r="E15" s="65"/>
      <c r="F15" s="65"/>
      <c r="G15" s="65"/>
      <c r="H15" s="65"/>
    </row>
  </sheetData>
  <mergeCells count="2">
    <mergeCell ref="A1:H1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4" min="3" style="0" width="42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24" hidden="false" customHeight="true" outlineLevel="0" collapsed="false">
      <c r="A1" s="1" t="s">
        <v>311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0" t="s">
        <v>244</v>
      </c>
      <c r="B2" s="40" t="s">
        <v>2</v>
      </c>
      <c r="C2" s="40" t="s">
        <v>245</v>
      </c>
      <c r="D2" s="40" t="s">
        <v>246</v>
      </c>
      <c r="E2" s="40" t="s">
        <v>4</v>
      </c>
      <c r="F2" s="40" t="s">
        <v>247</v>
      </c>
      <c r="G2" s="40" t="s">
        <v>6</v>
      </c>
      <c r="H2" s="40" t="s">
        <v>10</v>
      </c>
    </row>
    <row r="3" customFormat="false" ht="60" hidden="false" customHeight="true" outlineLevel="0" collapsed="false">
      <c r="A3" s="41" t="s">
        <v>312</v>
      </c>
      <c r="B3" s="42" t="s">
        <v>96</v>
      </c>
      <c r="C3" s="43" t="s">
        <v>313</v>
      </c>
      <c r="D3" s="43" t="s">
        <v>314</v>
      </c>
      <c r="E3" s="44" t="s">
        <v>97</v>
      </c>
      <c r="F3" s="45" t="n">
        <v>3</v>
      </c>
      <c r="G3" s="7" t="s">
        <v>55</v>
      </c>
      <c r="H3" s="46" t="s">
        <v>99</v>
      </c>
    </row>
    <row r="4" customFormat="false" ht="60" hidden="false" customHeight="true" outlineLevel="0" collapsed="false">
      <c r="A4" s="59" t="s">
        <v>315</v>
      </c>
      <c r="B4" s="60" t="s">
        <v>100</v>
      </c>
      <c r="C4" s="61" t="s">
        <v>316</v>
      </c>
      <c r="D4" s="61" t="s">
        <v>317</v>
      </c>
      <c r="E4" s="62" t="s">
        <v>101</v>
      </c>
      <c r="F4" s="63" t="n">
        <v>8</v>
      </c>
      <c r="G4" s="25" t="s">
        <v>23</v>
      </c>
      <c r="H4" s="64" t="s">
        <v>102</v>
      </c>
    </row>
    <row r="5" customFormat="false" ht="60" hidden="false" customHeight="true" outlineLevel="0" collapsed="false">
      <c r="A5" s="47" t="s">
        <v>318</v>
      </c>
      <c r="B5" s="48" t="s">
        <v>103</v>
      </c>
      <c r="C5" s="49" t="s">
        <v>319</v>
      </c>
      <c r="D5" s="49" t="s">
        <v>320</v>
      </c>
      <c r="E5" s="50" t="s">
        <v>104</v>
      </c>
      <c r="F5" s="51" t="n">
        <v>7</v>
      </c>
      <c r="G5" s="13" t="s">
        <v>70</v>
      </c>
      <c r="H5" s="52" t="s">
        <v>105</v>
      </c>
    </row>
    <row r="6" customFormat="false" ht="60" hidden="false" customHeight="true" outlineLevel="0" collapsed="false">
      <c r="A6" s="66" t="s">
        <v>321</v>
      </c>
      <c r="B6" s="67" t="s">
        <v>106</v>
      </c>
      <c r="C6" s="68" t="s">
        <v>322</v>
      </c>
      <c r="D6" s="68" t="s">
        <v>323</v>
      </c>
      <c r="E6" s="69" t="s">
        <v>107</v>
      </c>
      <c r="F6" s="70" t="n">
        <v>6</v>
      </c>
      <c r="G6" s="31" t="s">
        <v>15</v>
      </c>
      <c r="H6" s="71" t="s">
        <v>108</v>
      </c>
    </row>
    <row r="7" customFormat="false" ht="60" hidden="false" customHeight="true" outlineLevel="0" collapsed="false">
      <c r="A7" s="47" t="s">
        <v>324</v>
      </c>
      <c r="B7" s="48" t="s">
        <v>109</v>
      </c>
      <c r="C7" s="49" t="s">
        <v>325</v>
      </c>
      <c r="D7" s="49" t="s">
        <v>326</v>
      </c>
      <c r="E7" s="50" t="s">
        <v>110</v>
      </c>
      <c r="F7" s="51" t="n">
        <v>8</v>
      </c>
      <c r="G7" s="13" t="s">
        <v>23</v>
      </c>
      <c r="H7" s="52" t="s">
        <v>111</v>
      </c>
    </row>
    <row r="8" customFormat="false" ht="60" hidden="false" customHeight="true" outlineLevel="0" collapsed="false">
      <c r="A8" s="59" t="s">
        <v>327</v>
      </c>
      <c r="B8" s="60" t="s">
        <v>112</v>
      </c>
      <c r="C8" s="61" t="s">
        <v>328</v>
      </c>
      <c r="D8" s="61" t="s">
        <v>329</v>
      </c>
      <c r="E8" s="62" t="s">
        <v>113</v>
      </c>
      <c r="F8" s="63" t="n">
        <v>8</v>
      </c>
      <c r="G8" s="25" t="s">
        <v>23</v>
      </c>
      <c r="H8" s="64" t="s">
        <v>114</v>
      </c>
    </row>
    <row r="9" customFormat="false" ht="60" hidden="false" customHeight="true" outlineLevel="0" collapsed="false">
      <c r="A9" s="59" t="s">
        <v>330</v>
      </c>
      <c r="B9" s="60" t="s">
        <v>115</v>
      </c>
      <c r="C9" s="61" t="s">
        <v>331</v>
      </c>
      <c r="D9" s="61" t="s">
        <v>332</v>
      </c>
      <c r="E9" s="62" t="s">
        <v>116</v>
      </c>
      <c r="F9" s="63" t="n">
        <v>9</v>
      </c>
      <c r="G9" s="25" t="s">
        <v>47</v>
      </c>
      <c r="H9" s="64" t="s">
        <v>117</v>
      </c>
    </row>
    <row r="10" customFormat="false" ht="60" hidden="false" customHeight="true" outlineLevel="0" collapsed="false">
      <c r="A10" s="47" t="s">
        <v>333</v>
      </c>
      <c r="B10" s="48" t="s">
        <v>118</v>
      </c>
      <c r="C10" s="49" t="s">
        <v>334</v>
      </c>
      <c r="D10" s="49" t="s">
        <v>335</v>
      </c>
      <c r="E10" s="50" t="s">
        <v>119</v>
      </c>
      <c r="F10" s="51" t="n">
        <v>9</v>
      </c>
      <c r="G10" s="13" t="s">
        <v>47</v>
      </c>
      <c r="H10" s="52" t="s">
        <v>120</v>
      </c>
    </row>
    <row r="11" customFormat="false" ht="60" hidden="false" customHeight="true" outlineLevel="0" collapsed="false">
      <c r="A11" s="59" t="s">
        <v>336</v>
      </c>
      <c r="B11" s="60" t="s">
        <v>121</v>
      </c>
      <c r="C11" s="61" t="s">
        <v>337</v>
      </c>
      <c r="D11" s="61" t="s">
        <v>338</v>
      </c>
      <c r="E11" s="62" t="s">
        <v>122</v>
      </c>
      <c r="F11" s="63" t="n">
        <v>8</v>
      </c>
      <c r="G11" s="25" t="s">
        <v>23</v>
      </c>
      <c r="H11" s="64" t="s">
        <v>123</v>
      </c>
    </row>
    <row r="12" customFormat="false" ht="60" hidden="false" customHeight="true" outlineLevel="0" collapsed="false">
      <c r="A12" s="66" t="s">
        <v>339</v>
      </c>
      <c r="B12" s="67" t="s">
        <v>124</v>
      </c>
      <c r="C12" s="68" t="s">
        <v>340</v>
      </c>
      <c r="D12" s="68" t="s">
        <v>341</v>
      </c>
      <c r="E12" s="69" t="s">
        <v>125</v>
      </c>
      <c r="F12" s="70" t="n">
        <v>6</v>
      </c>
      <c r="G12" s="31" t="s">
        <v>15</v>
      </c>
      <c r="H12" s="71" t="s">
        <v>126</v>
      </c>
    </row>
    <row r="13" customFormat="false" ht="15" hidden="false" customHeight="false" outlineLevel="0" collapsed="false">
      <c r="A13" s="65" t="s">
        <v>342</v>
      </c>
      <c r="B13" s="65"/>
      <c r="C13" s="65"/>
      <c r="D13" s="65"/>
      <c r="E13" s="65"/>
      <c r="F13" s="65"/>
      <c r="G13" s="65"/>
      <c r="H13" s="65"/>
    </row>
  </sheetData>
  <mergeCells count="2">
    <mergeCell ref="A1:H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4" min="3" style="0" width="42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24" hidden="false" customHeight="true" outlineLevel="0" collapsed="false">
      <c r="A1" s="1" t="s">
        <v>343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0" t="s">
        <v>244</v>
      </c>
      <c r="B2" s="40" t="s">
        <v>2</v>
      </c>
      <c r="C2" s="40" t="s">
        <v>245</v>
      </c>
      <c r="D2" s="40" t="s">
        <v>246</v>
      </c>
      <c r="E2" s="40" t="s">
        <v>4</v>
      </c>
      <c r="F2" s="40" t="s">
        <v>247</v>
      </c>
      <c r="G2" s="40" t="s">
        <v>6</v>
      </c>
      <c r="H2" s="40" t="s">
        <v>10</v>
      </c>
    </row>
    <row r="3" customFormat="false" ht="60" hidden="false" customHeight="true" outlineLevel="0" collapsed="false">
      <c r="A3" s="41" t="s">
        <v>344</v>
      </c>
      <c r="B3" s="42" t="s">
        <v>128</v>
      </c>
      <c r="C3" s="43" t="s">
        <v>345</v>
      </c>
      <c r="D3" s="43" t="s">
        <v>346</v>
      </c>
      <c r="E3" s="44" t="s">
        <v>129</v>
      </c>
      <c r="F3" s="45" t="n">
        <v>8</v>
      </c>
      <c r="G3" s="7" t="s">
        <v>23</v>
      </c>
      <c r="H3" s="46" t="s">
        <v>131</v>
      </c>
    </row>
    <row r="4" customFormat="false" ht="60" hidden="false" customHeight="true" outlineLevel="0" collapsed="false">
      <c r="A4" s="41" t="s">
        <v>347</v>
      </c>
      <c r="B4" s="42" t="s">
        <v>132</v>
      </c>
      <c r="C4" s="43" t="s">
        <v>348</v>
      </c>
      <c r="D4" s="43" t="s">
        <v>349</v>
      </c>
      <c r="E4" s="44" t="s">
        <v>133</v>
      </c>
      <c r="F4" s="45" t="n">
        <v>8</v>
      </c>
      <c r="G4" s="7" t="s">
        <v>23</v>
      </c>
      <c r="H4" s="46" t="s">
        <v>134</v>
      </c>
    </row>
    <row r="5" customFormat="false" ht="60" hidden="false" customHeight="true" outlineLevel="0" collapsed="false">
      <c r="A5" s="59" t="s">
        <v>350</v>
      </c>
      <c r="B5" s="60" t="s">
        <v>135</v>
      </c>
      <c r="C5" s="61" t="s">
        <v>351</v>
      </c>
      <c r="D5" s="61" t="s">
        <v>352</v>
      </c>
      <c r="E5" s="62" t="s">
        <v>136</v>
      </c>
      <c r="F5" s="63" t="n">
        <v>9</v>
      </c>
      <c r="G5" s="25" t="s">
        <v>47</v>
      </c>
      <c r="H5" s="64" t="s">
        <v>137</v>
      </c>
    </row>
    <row r="6" customFormat="false" ht="60" hidden="false" customHeight="true" outlineLevel="0" collapsed="false">
      <c r="A6" s="59" t="s">
        <v>353</v>
      </c>
      <c r="B6" s="60" t="s">
        <v>138</v>
      </c>
      <c r="C6" s="61" t="s">
        <v>354</v>
      </c>
      <c r="D6" s="61" t="s">
        <v>355</v>
      </c>
      <c r="E6" s="62" t="s">
        <v>139</v>
      </c>
      <c r="F6" s="63" t="n">
        <v>9</v>
      </c>
      <c r="G6" s="25" t="s">
        <v>47</v>
      </c>
      <c r="H6" s="64" t="s">
        <v>140</v>
      </c>
    </row>
    <row r="7" customFormat="false" ht="60" hidden="false" customHeight="true" outlineLevel="0" collapsed="false">
      <c r="A7" s="47" t="s">
        <v>356</v>
      </c>
      <c r="B7" s="48" t="s">
        <v>141</v>
      </c>
      <c r="C7" s="49" t="s">
        <v>357</v>
      </c>
      <c r="D7" s="49" t="s">
        <v>358</v>
      </c>
      <c r="E7" s="50" t="s">
        <v>142</v>
      </c>
      <c r="F7" s="51" t="n">
        <v>8</v>
      </c>
      <c r="G7" s="13" t="s">
        <v>23</v>
      </c>
      <c r="H7" s="52" t="s">
        <v>143</v>
      </c>
    </row>
    <row r="8" customFormat="false" ht="60" hidden="false" customHeight="true" outlineLevel="0" collapsed="false">
      <c r="A8" s="47" t="s">
        <v>359</v>
      </c>
      <c r="B8" s="48" t="s">
        <v>144</v>
      </c>
      <c r="C8" s="49" t="s">
        <v>360</v>
      </c>
      <c r="D8" s="49" t="s">
        <v>361</v>
      </c>
      <c r="E8" s="50" t="s">
        <v>145</v>
      </c>
      <c r="F8" s="51" t="n">
        <v>7</v>
      </c>
      <c r="G8" s="13" t="s">
        <v>70</v>
      </c>
      <c r="H8" s="52" t="s">
        <v>146</v>
      </c>
    </row>
    <row r="9" customFormat="false" ht="60" hidden="false" customHeight="true" outlineLevel="0" collapsed="false">
      <c r="A9" s="66" t="s">
        <v>362</v>
      </c>
      <c r="B9" s="67" t="s">
        <v>147</v>
      </c>
      <c r="C9" s="68" t="s">
        <v>363</v>
      </c>
      <c r="D9" s="68" t="s">
        <v>364</v>
      </c>
      <c r="E9" s="69" t="s">
        <v>148</v>
      </c>
      <c r="F9" s="70" t="n">
        <v>7</v>
      </c>
      <c r="G9" s="31" t="s">
        <v>70</v>
      </c>
      <c r="H9" s="71" t="s">
        <v>149</v>
      </c>
    </row>
    <row r="10" customFormat="false" ht="60" hidden="false" customHeight="true" outlineLevel="0" collapsed="false">
      <c r="A10" s="66" t="s">
        <v>365</v>
      </c>
      <c r="B10" s="67" t="s">
        <v>150</v>
      </c>
      <c r="C10" s="68" t="s">
        <v>366</v>
      </c>
      <c r="D10" s="68" t="s">
        <v>367</v>
      </c>
      <c r="E10" s="69" t="s">
        <v>151</v>
      </c>
      <c r="F10" s="70" t="n">
        <v>7</v>
      </c>
      <c r="G10" s="31" t="s">
        <v>70</v>
      </c>
      <c r="H10" s="71" t="s">
        <v>152</v>
      </c>
    </row>
    <row r="11" customFormat="false" ht="60" hidden="false" customHeight="true" outlineLevel="0" collapsed="false">
      <c r="A11" s="47" t="s">
        <v>368</v>
      </c>
      <c r="B11" s="48" t="s">
        <v>153</v>
      </c>
      <c r="C11" s="49" t="s">
        <v>369</v>
      </c>
      <c r="D11" s="49" t="s">
        <v>370</v>
      </c>
      <c r="E11" s="50" t="s">
        <v>154</v>
      </c>
      <c r="F11" s="51" t="n">
        <v>9</v>
      </c>
      <c r="G11" s="13" t="s">
        <v>47</v>
      </c>
      <c r="H11" s="52" t="s">
        <v>155</v>
      </c>
    </row>
    <row r="12" customFormat="false" ht="60" hidden="false" customHeight="true" outlineLevel="0" collapsed="false">
      <c r="A12" s="47" t="s">
        <v>371</v>
      </c>
      <c r="B12" s="48" t="s">
        <v>156</v>
      </c>
      <c r="C12" s="49" t="s">
        <v>372</v>
      </c>
      <c r="D12" s="49" t="s">
        <v>373</v>
      </c>
      <c r="E12" s="50" t="s">
        <v>80</v>
      </c>
      <c r="F12" s="51" t="n">
        <v>8</v>
      </c>
      <c r="G12" s="13" t="s">
        <v>23</v>
      </c>
      <c r="H12" s="52" t="s">
        <v>85</v>
      </c>
    </row>
    <row r="13" customFormat="false" ht="15" hidden="false" customHeight="false" outlineLevel="0" collapsed="false">
      <c r="A13" s="65" t="s">
        <v>374</v>
      </c>
      <c r="B13" s="65"/>
      <c r="C13" s="65"/>
      <c r="D13" s="65"/>
      <c r="E13" s="65"/>
      <c r="F13" s="65"/>
      <c r="G13" s="65"/>
      <c r="H13" s="65"/>
    </row>
  </sheetData>
  <mergeCells count="2">
    <mergeCell ref="A1:H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4" min="3" style="0" width="42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24" hidden="false" customHeight="true" outlineLevel="0" collapsed="false">
      <c r="A1" s="1" t="s">
        <v>375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0" t="s">
        <v>244</v>
      </c>
      <c r="B2" s="40" t="s">
        <v>2</v>
      </c>
      <c r="C2" s="40" t="s">
        <v>245</v>
      </c>
      <c r="D2" s="40" t="s">
        <v>246</v>
      </c>
      <c r="E2" s="40" t="s">
        <v>4</v>
      </c>
      <c r="F2" s="40" t="s">
        <v>247</v>
      </c>
      <c r="G2" s="40" t="s">
        <v>6</v>
      </c>
      <c r="H2" s="40" t="s">
        <v>10</v>
      </c>
    </row>
    <row r="3" customFormat="false" ht="60" hidden="false" customHeight="true" outlineLevel="0" collapsed="false">
      <c r="A3" s="66" t="s">
        <v>376</v>
      </c>
      <c r="B3" s="67" t="s">
        <v>158</v>
      </c>
      <c r="C3" s="68" t="s">
        <v>377</v>
      </c>
      <c r="D3" s="68" t="s">
        <v>378</v>
      </c>
      <c r="E3" s="69" t="s">
        <v>159</v>
      </c>
      <c r="F3" s="70" t="n">
        <v>7</v>
      </c>
      <c r="G3" s="31" t="s">
        <v>70</v>
      </c>
      <c r="H3" s="71" t="s">
        <v>161</v>
      </c>
    </row>
    <row r="4" customFormat="false" ht="60" hidden="false" customHeight="true" outlineLevel="0" collapsed="false">
      <c r="A4" s="66" t="s">
        <v>379</v>
      </c>
      <c r="B4" s="67" t="s">
        <v>162</v>
      </c>
      <c r="C4" s="68" t="s">
        <v>380</v>
      </c>
      <c r="D4" s="68" t="s">
        <v>381</v>
      </c>
      <c r="E4" s="69" t="s">
        <v>163</v>
      </c>
      <c r="F4" s="70" t="n">
        <v>5</v>
      </c>
      <c r="G4" s="31" t="s">
        <v>29</v>
      </c>
      <c r="H4" s="71" t="s">
        <v>164</v>
      </c>
    </row>
    <row r="5" customFormat="false" ht="60" hidden="false" customHeight="true" outlineLevel="0" collapsed="false">
      <c r="A5" s="41" t="s">
        <v>382</v>
      </c>
      <c r="B5" s="42" t="s">
        <v>165</v>
      </c>
      <c r="C5" s="43" t="s">
        <v>383</v>
      </c>
      <c r="D5" s="43" t="s">
        <v>384</v>
      </c>
      <c r="E5" s="44" t="s">
        <v>166</v>
      </c>
      <c r="F5" s="45" t="n">
        <v>8</v>
      </c>
      <c r="G5" s="7" t="s">
        <v>23</v>
      </c>
      <c r="H5" s="46" t="s">
        <v>167</v>
      </c>
    </row>
    <row r="6" customFormat="false" ht="60" hidden="false" customHeight="true" outlineLevel="0" collapsed="false">
      <c r="A6" s="41" t="s">
        <v>385</v>
      </c>
      <c r="B6" s="42" t="s">
        <v>168</v>
      </c>
      <c r="C6" s="43" t="s">
        <v>386</v>
      </c>
      <c r="D6" s="43" t="s">
        <v>387</v>
      </c>
      <c r="E6" s="44" t="s">
        <v>169</v>
      </c>
      <c r="F6" s="45" t="n">
        <v>7</v>
      </c>
      <c r="G6" s="7" t="s">
        <v>70</v>
      </c>
      <c r="H6" s="46" t="s">
        <v>170</v>
      </c>
    </row>
    <row r="7" customFormat="false" ht="60" hidden="false" customHeight="true" outlineLevel="0" collapsed="false">
      <c r="A7" s="41" t="s">
        <v>388</v>
      </c>
      <c r="B7" s="42" t="s">
        <v>171</v>
      </c>
      <c r="C7" s="43" t="s">
        <v>389</v>
      </c>
      <c r="D7" s="43" t="s">
        <v>390</v>
      </c>
      <c r="E7" s="44" t="s">
        <v>172</v>
      </c>
      <c r="F7" s="45" t="n">
        <v>7</v>
      </c>
      <c r="G7" s="7" t="s">
        <v>70</v>
      </c>
      <c r="H7" s="46" t="s">
        <v>173</v>
      </c>
    </row>
    <row r="8" customFormat="false" ht="60" hidden="false" customHeight="true" outlineLevel="0" collapsed="false">
      <c r="A8" s="72" t="s">
        <v>391</v>
      </c>
      <c r="B8" s="73" t="s">
        <v>174</v>
      </c>
      <c r="C8" s="74" t="s">
        <v>392</v>
      </c>
      <c r="D8" s="74" t="s">
        <v>393</v>
      </c>
      <c r="E8" s="75" t="s">
        <v>176</v>
      </c>
      <c r="F8" s="76" t="n">
        <v>0</v>
      </c>
      <c r="G8" s="37" t="s">
        <v>177</v>
      </c>
      <c r="H8" s="77" t="s">
        <v>179</v>
      </c>
    </row>
    <row r="9" customFormat="false" ht="60" hidden="false" customHeight="true" outlineLevel="0" collapsed="false">
      <c r="A9" s="66" t="s">
        <v>394</v>
      </c>
      <c r="B9" s="67" t="s">
        <v>180</v>
      </c>
      <c r="C9" s="68" t="s">
        <v>395</v>
      </c>
      <c r="D9" s="68" t="s">
        <v>396</v>
      </c>
      <c r="E9" s="69" t="s">
        <v>181</v>
      </c>
      <c r="F9" s="70" t="n">
        <v>5</v>
      </c>
      <c r="G9" s="31" t="s">
        <v>29</v>
      </c>
      <c r="H9" s="71" t="s">
        <v>182</v>
      </c>
    </row>
    <row r="10" customFormat="false" ht="60" hidden="false" customHeight="true" outlineLevel="0" collapsed="false">
      <c r="A10" s="66" t="s">
        <v>397</v>
      </c>
      <c r="B10" s="67" t="s">
        <v>183</v>
      </c>
      <c r="C10" s="68" t="s">
        <v>398</v>
      </c>
      <c r="D10" s="68" t="s">
        <v>399</v>
      </c>
      <c r="E10" s="69" t="s">
        <v>184</v>
      </c>
      <c r="F10" s="70" t="n">
        <v>7</v>
      </c>
      <c r="G10" s="31" t="s">
        <v>70</v>
      </c>
      <c r="H10" s="71" t="s">
        <v>185</v>
      </c>
    </row>
    <row r="11" customFormat="false" ht="15" hidden="false" customHeight="false" outlineLevel="0" collapsed="false">
      <c r="A11" s="65" t="s">
        <v>400</v>
      </c>
      <c r="B11" s="65"/>
      <c r="C11" s="65"/>
      <c r="D11" s="65"/>
      <c r="E11" s="65"/>
      <c r="F11" s="65"/>
      <c r="G11" s="65"/>
      <c r="H11" s="65"/>
    </row>
  </sheetData>
  <mergeCells count="2">
    <mergeCell ref="A1:H1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4" min="3" style="0" width="42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24" hidden="false" customHeight="true" outlineLevel="0" collapsed="false">
      <c r="A1" s="1" t="s">
        <v>401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0" t="s">
        <v>244</v>
      </c>
      <c r="B2" s="40" t="s">
        <v>2</v>
      </c>
      <c r="C2" s="40" t="s">
        <v>245</v>
      </c>
      <c r="D2" s="40" t="s">
        <v>246</v>
      </c>
      <c r="E2" s="40" t="s">
        <v>4</v>
      </c>
      <c r="F2" s="40" t="s">
        <v>247</v>
      </c>
      <c r="G2" s="40" t="s">
        <v>6</v>
      </c>
      <c r="H2" s="40" t="s">
        <v>10</v>
      </c>
    </row>
    <row r="3" customFormat="false" ht="60" hidden="false" customHeight="true" outlineLevel="0" collapsed="false">
      <c r="A3" s="47" t="s">
        <v>402</v>
      </c>
      <c r="B3" s="48" t="s">
        <v>187</v>
      </c>
      <c r="C3" s="49" t="s">
        <v>403</v>
      </c>
      <c r="D3" s="49" t="s">
        <v>404</v>
      </c>
      <c r="E3" s="50" t="s">
        <v>188</v>
      </c>
      <c r="F3" s="51" t="n">
        <v>9</v>
      </c>
      <c r="G3" s="13" t="s">
        <v>47</v>
      </c>
      <c r="H3" s="52" t="s">
        <v>190</v>
      </c>
    </row>
    <row r="4" customFormat="false" ht="60" hidden="false" customHeight="true" outlineLevel="0" collapsed="false">
      <c r="A4" s="66" t="s">
        <v>405</v>
      </c>
      <c r="B4" s="67" t="s">
        <v>191</v>
      </c>
      <c r="C4" s="68" t="s">
        <v>406</v>
      </c>
      <c r="D4" s="68" t="s">
        <v>407</v>
      </c>
      <c r="E4" s="69" t="s">
        <v>192</v>
      </c>
      <c r="F4" s="70" t="n">
        <v>8</v>
      </c>
      <c r="G4" s="31" t="s">
        <v>23</v>
      </c>
      <c r="H4" s="71" t="s">
        <v>193</v>
      </c>
    </row>
    <row r="5" customFormat="false" ht="60" hidden="false" customHeight="true" outlineLevel="0" collapsed="false">
      <c r="A5" s="41" t="s">
        <v>408</v>
      </c>
      <c r="B5" s="42" t="s">
        <v>194</v>
      </c>
      <c r="C5" s="43" t="s">
        <v>409</v>
      </c>
      <c r="D5" s="43" t="s">
        <v>410</v>
      </c>
      <c r="E5" s="44" t="s">
        <v>195</v>
      </c>
      <c r="F5" s="45" t="n">
        <v>9</v>
      </c>
      <c r="G5" s="7" t="s">
        <v>47</v>
      </c>
      <c r="H5" s="46" t="s">
        <v>196</v>
      </c>
    </row>
    <row r="6" customFormat="false" ht="60" hidden="false" customHeight="true" outlineLevel="0" collapsed="false">
      <c r="A6" s="41" t="s">
        <v>411</v>
      </c>
      <c r="B6" s="42" t="s">
        <v>197</v>
      </c>
      <c r="C6" s="43" t="s">
        <v>412</v>
      </c>
      <c r="D6" s="43" t="s">
        <v>413</v>
      </c>
      <c r="E6" s="44" t="s">
        <v>198</v>
      </c>
      <c r="F6" s="45" t="n">
        <v>9</v>
      </c>
      <c r="G6" s="7" t="s">
        <v>47</v>
      </c>
      <c r="H6" s="46" t="s">
        <v>199</v>
      </c>
    </row>
    <row r="7" customFormat="false" ht="60" hidden="false" customHeight="true" outlineLevel="0" collapsed="false">
      <c r="A7" s="41" t="s">
        <v>414</v>
      </c>
      <c r="B7" s="42" t="s">
        <v>200</v>
      </c>
      <c r="C7" s="43" t="s">
        <v>415</v>
      </c>
      <c r="D7" s="43" t="s">
        <v>416</v>
      </c>
      <c r="E7" s="44" t="s">
        <v>201</v>
      </c>
      <c r="F7" s="45" t="n">
        <v>7</v>
      </c>
      <c r="G7" s="7" t="s">
        <v>70</v>
      </c>
      <c r="H7" s="46" t="s">
        <v>202</v>
      </c>
    </row>
    <row r="8" customFormat="false" ht="60" hidden="false" customHeight="true" outlineLevel="0" collapsed="false">
      <c r="A8" s="59" t="s">
        <v>417</v>
      </c>
      <c r="B8" s="60" t="s">
        <v>203</v>
      </c>
      <c r="C8" s="61" t="s">
        <v>418</v>
      </c>
      <c r="D8" s="61" t="s">
        <v>419</v>
      </c>
      <c r="E8" s="62" t="s">
        <v>204</v>
      </c>
      <c r="F8" s="63" t="n">
        <v>10</v>
      </c>
      <c r="G8" s="25" t="s">
        <v>40</v>
      </c>
      <c r="H8" s="64" t="s">
        <v>205</v>
      </c>
    </row>
    <row r="9" customFormat="false" ht="60" hidden="false" customHeight="true" outlineLevel="0" collapsed="false">
      <c r="A9" s="41" t="s">
        <v>420</v>
      </c>
      <c r="B9" s="42" t="s">
        <v>206</v>
      </c>
      <c r="C9" s="43" t="s">
        <v>421</v>
      </c>
      <c r="D9" s="43" t="s">
        <v>422</v>
      </c>
      <c r="E9" s="44" t="s">
        <v>207</v>
      </c>
      <c r="F9" s="45" t="n">
        <v>7</v>
      </c>
      <c r="G9" s="7" t="s">
        <v>70</v>
      </c>
      <c r="H9" s="46" t="s">
        <v>208</v>
      </c>
    </row>
    <row r="10" customFormat="false" ht="60" hidden="false" customHeight="true" outlineLevel="0" collapsed="false">
      <c r="A10" s="66" t="s">
        <v>423</v>
      </c>
      <c r="B10" s="67" t="s">
        <v>209</v>
      </c>
      <c r="C10" s="68" t="s">
        <v>424</v>
      </c>
      <c r="D10" s="68" t="s">
        <v>425</v>
      </c>
      <c r="E10" s="69" t="s">
        <v>210</v>
      </c>
      <c r="F10" s="70" t="n">
        <v>3</v>
      </c>
      <c r="G10" s="31" t="s">
        <v>55</v>
      </c>
      <c r="H10" s="71" t="s">
        <v>211</v>
      </c>
    </row>
    <row r="11" customFormat="false" ht="15" hidden="false" customHeight="false" outlineLevel="0" collapsed="false">
      <c r="A11" s="65" t="s">
        <v>426</v>
      </c>
      <c r="B11" s="65"/>
      <c r="C11" s="65"/>
      <c r="D11" s="65"/>
      <c r="E11" s="65"/>
      <c r="F11" s="65"/>
      <c r="G11" s="65"/>
      <c r="H11" s="65"/>
    </row>
  </sheetData>
  <mergeCells count="2">
    <mergeCell ref="A1:H1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4" min="3" style="0" width="42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24" hidden="false" customHeight="true" outlineLevel="0" collapsed="false">
      <c r="A1" s="1" t="s">
        <v>427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0" t="s">
        <v>244</v>
      </c>
      <c r="B2" s="40" t="s">
        <v>2</v>
      </c>
      <c r="C2" s="40" t="s">
        <v>245</v>
      </c>
      <c r="D2" s="40" t="s">
        <v>246</v>
      </c>
      <c r="E2" s="40" t="s">
        <v>4</v>
      </c>
      <c r="F2" s="40" t="s">
        <v>247</v>
      </c>
      <c r="G2" s="40" t="s">
        <v>6</v>
      </c>
      <c r="H2" s="40" t="s">
        <v>10</v>
      </c>
    </row>
    <row r="3" customFormat="false" ht="60" hidden="false" customHeight="true" outlineLevel="0" collapsed="false">
      <c r="A3" s="47" t="s">
        <v>428</v>
      </c>
      <c r="B3" s="48" t="s">
        <v>213</v>
      </c>
      <c r="C3" s="49" t="s">
        <v>429</v>
      </c>
      <c r="D3" s="49" t="s">
        <v>430</v>
      </c>
      <c r="E3" s="50" t="s">
        <v>214</v>
      </c>
      <c r="F3" s="51" t="n">
        <v>8</v>
      </c>
      <c r="G3" s="13" t="s">
        <v>23</v>
      </c>
      <c r="H3" s="52" t="s">
        <v>216</v>
      </c>
    </row>
    <row r="4" customFormat="false" ht="60" hidden="false" customHeight="true" outlineLevel="0" collapsed="false">
      <c r="A4" s="41" t="s">
        <v>431</v>
      </c>
      <c r="B4" s="42" t="s">
        <v>217</v>
      </c>
      <c r="C4" s="43" t="s">
        <v>432</v>
      </c>
      <c r="D4" s="43" t="s">
        <v>433</v>
      </c>
      <c r="E4" s="44" t="s">
        <v>218</v>
      </c>
      <c r="F4" s="45" t="n">
        <v>2</v>
      </c>
      <c r="G4" s="7" t="s">
        <v>34</v>
      </c>
      <c r="H4" s="46" t="s">
        <v>219</v>
      </c>
    </row>
    <row r="5" customFormat="false" ht="60" hidden="false" customHeight="true" outlineLevel="0" collapsed="false">
      <c r="A5" s="66" t="s">
        <v>434</v>
      </c>
      <c r="B5" s="67" t="s">
        <v>220</v>
      </c>
      <c r="C5" s="68" t="s">
        <v>435</v>
      </c>
      <c r="D5" s="68" t="s">
        <v>436</v>
      </c>
      <c r="E5" s="69" t="s">
        <v>221</v>
      </c>
      <c r="F5" s="70" t="n">
        <v>7</v>
      </c>
      <c r="G5" s="31" t="s">
        <v>70</v>
      </c>
      <c r="H5" s="71" t="s">
        <v>222</v>
      </c>
    </row>
    <row r="6" customFormat="false" ht="60" hidden="false" customHeight="true" outlineLevel="0" collapsed="false">
      <c r="A6" s="72" t="s">
        <v>437</v>
      </c>
      <c r="B6" s="73" t="s">
        <v>223</v>
      </c>
      <c r="C6" s="74" t="s">
        <v>17</v>
      </c>
      <c r="D6" s="74" t="s">
        <v>438</v>
      </c>
      <c r="E6" s="75" t="s">
        <v>224</v>
      </c>
      <c r="F6" s="76" t="n">
        <v>0</v>
      </c>
      <c r="G6" s="37" t="s">
        <v>177</v>
      </c>
      <c r="H6" s="77" t="s">
        <v>225</v>
      </c>
    </row>
    <row r="7" customFormat="false" ht="15" hidden="false" customHeight="false" outlineLevel="0" collapsed="false">
      <c r="A7" s="65" t="s">
        <v>439</v>
      </c>
      <c r="B7" s="65"/>
      <c r="C7" s="65"/>
      <c r="D7" s="65"/>
      <c r="E7" s="65"/>
      <c r="F7" s="65"/>
      <c r="G7" s="65"/>
      <c r="H7" s="65"/>
    </row>
  </sheetData>
  <mergeCells count="2">
    <mergeCell ref="A1:H1"/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4" min="3" style="0" width="42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24" hidden="false" customHeight="true" outlineLevel="0" collapsed="false">
      <c r="A1" s="1" t="s">
        <v>440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0" t="s">
        <v>244</v>
      </c>
      <c r="B2" s="40" t="s">
        <v>2</v>
      </c>
      <c r="C2" s="40" t="s">
        <v>245</v>
      </c>
      <c r="D2" s="40" t="s">
        <v>246</v>
      </c>
      <c r="E2" s="40" t="s">
        <v>4</v>
      </c>
      <c r="F2" s="40" t="s">
        <v>247</v>
      </c>
      <c r="G2" s="40" t="s">
        <v>6</v>
      </c>
      <c r="H2" s="40" t="s">
        <v>10</v>
      </c>
    </row>
    <row r="3" customFormat="false" ht="60" hidden="false" customHeight="true" outlineLevel="0" collapsed="false">
      <c r="A3" s="72" t="s">
        <v>441</v>
      </c>
      <c r="B3" s="73" t="s">
        <v>227</v>
      </c>
      <c r="C3" s="74" t="s">
        <v>442</v>
      </c>
      <c r="D3" s="74" t="s">
        <v>443</v>
      </c>
      <c r="E3" s="75" t="s">
        <v>228</v>
      </c>
      <c r="F3" s="76" t="n">
        <v>0</v>
      </c>
      <c r="G3" s="37" t="s">
        <v>177</v>
      </c>
      <c r="H3" s="77" t="s">
        <v>229</v>
      </c>
    </row>
    <row r="4" customFormat="false" ht="60" hidden="false" customHeight="true" outlineLevel="0" collapsed="false">
      <c r="A4" s="72" t="s">
        <v>444</v>
      </c>
      <c r="B4" s="73" t="s">
        <v>230</v>
      </c>
      <c r="C4" s="74" t="s">
        <v>445</v>
      </c>
      <c r="D4" s="74" t="s">
        <v>446</v>
      </c>
      <c r="E4" s="75" t="s">
        <v>231</v>
      </c>
      <c r="F4" s="76" t="n">
        <v>0</v>
      </c>
      <c r="G4" s="37" t="s">
        <v>177</v>
      </c>
      <c r="H4" s="77" t="s">
        <v>229</v>
      </c>
    </row>
    <row r="5" customFormat="false" ht="60" hidden="false" customHeight="true" outlineLevel="0" collapsed="false">
      <c r="A5" s="72" t="s">
        <v>447</v>
      </c>
      <c r="B5" s="73" t="s">
        <v>232</v>
      </c>
      <c r="C5" s="74" t="s">
        <v>448</v>
      </c>
      <c r="D5" s="74" t="s">
        <v>449</v>
      </c>
      <c r="E5" s="75" t="s">
        <v>233</v>
      </c>
      <c r="F5" s="76" t="n">
        <v>2</v>
      </c>
      <c r="G5" s="37" t="s">
        <v>34</v>
      </c>
      <c r="H5" s="77" t="s">
        <v>234</v>
      </c>
    </row>
    <row r="6" customFormat="false" ht="60" hidden="false" customHeight="true" outlineLevel="0" collapsed="false">
      <c r="A6" s="41" t="s">
        <v>450</v>
      </c>
      <c r="B6" s="42" t="s">
        <v>235</v>
      </c>
      <c r="C6" s="43" t="s">
        <v>445</v>
      </c>
      <c r="D6" s="43" t="s">
        <v>451</v>
      </c>
      <c r="E6" s="44" t="s">
        <v>236</v>
      </c>
      <c r="F6" s="45" t="n">
        <v>7</v>
      </c>
      <c r="G6" s="7" t="s">
        <v>70</v>
      </c>
      <c r="H6" s="46" t="s">
        <v>237</v>
      </c>
    </row>
    <row r="7" customFormat="false" ht="60" hidden="false" customHeight="true" outlineLevel="0" collapsed="false">
      <c r="A7" s="59" t="s">
        <v>452</v>
      </c>
      <c r="B7" s="60" t="s">
        <v>238</v>
      </c>
      <c r="C7" s="61" t="s">
        <v>453</v>
      </c>
      <c r="D7" s="61" t="s">
        <v>454</v>
      </c>
      <c r="E7" s="62" t="s">
        <v>239</v>
      </c>
      <c r="F7" s="63" t="n">
        <v>10</v>
      </c>
      <c r="G7" s="25" t="s">
        <v>40</v>
      </c>
      <c r="H7" s="64" t="s">
        <v>240</v>
      </c>
    </row>
    <row r="8" customFormat="false" ht="60" hidden="false" customHeight="true" outlineLevel="0" collapsed="false">
      <c r="A8" s="72" t="s">
        <v>455</v>
      </c>
      <c r="B8" s="73" t="s">
        <v>241</v>
      </c>
      <c r="C8" s="74" t="s">
        <v>456</v>
      </c>
      <c r="D8" s="74" t="s">
        <v>457</v>
      </c>
      <c r="E8" s="75" t="s">
        <v>242</v>
      </c>
      <c r="F8" s="76" t="n">
        <v>5</v>
      </c>
      <c r="G8" s="37" t="s">
        <v>29</v>
      </c>
      <c r="H8" s="77" t="s">
        <v>111</v>
      </c>
    </row>
    <row r="9" customFormat="false" ht="15" hidden="false" customHeight="false" outlineLevel="0" collapsed="false">
      <c r="A9" s="65" t="s">
        <v>458</v>
      </c>
      <c r="B9" s="65"/>
      <c r="C9" s="65"/>
      <c r="D9" s="65"/>
      <c r="E9" s="65"/>
      <c r="F9" s="65"/>
      <c r="G9" s="65"/>
      <c r="H9" s="65"/>
    </row>
  </sheetData>
  <mergeCells count="2">
    <mergeCell ref="A1:H1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52"/>
  </cols>
  <sheetData>
    <row r="1" customFormat="false" ht="21.75" hidden="false" customHeight="true" outlineLevel="0" collapsed="false">
      <c r="A1" s="78" t="s">
        <v>459</v>
      </c>
      <c r="B1" s="78"/>
      <c r="C1" s="78"/>
      <c r="D1" s="78"/>
      <c r="E1" s="78"/>
      <c r="F1" s="78"/>
    </row>
    <row r="2" customFormat="false" ht="15" hidden="false" customHeight="false" outlineLevel="0" collapsed="false">
      <c r="A2" s="40" t="s">
        <v>3</v>
      </c>
      <c r="B2" s="40" t="s">
        <v>460</v>
      </c>
      <c r="C2" s="40" t="s">
        <v>461</v>
      </c>
      <c r="D2" s="40" t="s">
        <v>462</v>
      </c>
      <c r="E2" s="40" t="s">
        <v>463</v>
      </c>
      <c r="F2" s="40" t="s">
        <v>464</v>
      </c>
    </row>
    <row r="3" customFormat="false" ht="24" hidden="false" customHeight="true" outlineLevel="0" collapsed="false">
      <c r="A3" s="79" t="s">
        <v>13</v>
      </c>
      <c r="B3" s="80" t="n">
        <v>17</v>
      </c>
      <c r="C3" s="81" t="n">
        <f aca="false">B3/B70</f>
        <v>0.257575757575758</v>
      </c>
      <c r="D3" s="80" t="n">
        <v>6.1</v>
      </c>
      <c r="E3" s="80" t="n">
        <v>10</v>
      </c>
      <c r="F3" s="82" t="s">
        <v>465</v>
      </c>
    </row>
    <row r="4" customFormat="false" ht="24" hidden="false" customHeight="true" outlineLevel="0" collapsed="false">
      <c r="A4" s="83" t="s">
        <v>21</v>
      </c>
      <c r="B4" s="84" t="n">
        <v>16</v>
      </c>
      <c r="C4" s="85" t="n">
        <f aca="false">B4/B70</f>
        <v>0.242424242424242</v>
      </c>
      <c r="D4" s="84" t="n">
        <v>8</v>
      </c>
      <c r="E4" s="84" t="n">
        <v>16</v>
      </c>
      <c r="F4" s="86" t="s">
        <v>466</v>
      </c>
    </row>
    <row r="5" customFormat="false" ht="24" hidden="false" customHeight="true" outlineLevel="0" collapsed="false">
      <c r="A5" s="87" t="s">
        <v>38</v>
      </c>
      <c r="B5" s="88" t="n">
        <v>10</v>
      </c>
      <c r="C5" s="89" t="n">
        <f aca="false">B5/B70</f>
        <v>0.151515151515152</v>
      </c>
      <c r="D5" s="88" t="n">
        <v>8.9</v>
      </c>
      <c r="E5" s="88" t="n">
        <v>10</v>
      </c>
      <c r="F5" s="90" t="s">
        <v>467</v>
      </c>
    </row>
    <row r="6" customFormat="false" ht="24" hidden="false" customHeight="true" outlineLevel="0" collapsed="false">
      <c r="A6" s="91" t="s">
        <v>32</v>
      </c>
      <c r="B6" s="92" t="n">
        <v>2</v>
      </c>
      <c r="C6" s="93" t="n">
        <f aca="false">B6/B70</f>
        <v>0.0303030303030303</v>
      </c>
      <c r="D6" s="92" t="n">
        <v>1.5</v>
      </c>
      <c r="E6" s="92" t="n">
        <v>0</v>
      </c>
      <c r="F6" s="94" t="s">
        <v>468</v>
      </c>
    </row>
    <row r="7" customFormat="false" ht="24" hidden="false" customHeight="true" outlineLevel="0" collapsed="false">
      <c r="A7" s="95" t="s">
        <v>73</v>
      </c>
      <c r="B7" s="96" t="n">
        <v>15</v>
      </c>
      <c r="C7" s="97" t="n">
        <f aca="false">B7/B70</f>
        <v>0.227272727272727</v>
      </c>
      <c r="D7" s="96" t="n">
        <v>5.9</v>
      </c>
      <c r="E7" s="96" t="n">
        <v>7</v>
      </c>
      <c r="F7" s="98" t="s">
        <v>469</v>
      </c>
    </row>
    <row r="8" customFormat="false" ht="24" hidden="false" customHeight="true" outlineLevel="0" collapsed="false">
      <c r="A8" s="99" t="s">
        <v>175</v>
      </c>
      <c r="B8" s="100" t="n">
        <v>6</v>
      </c>
      <c r="C8" s="101" t="n">
        <f aca="false">B8/B70</f>
        <v>0.0909090909090909</v>
      </c>
      <c r="D8" s="100" t="n">
        <v>1.2</v>
      </c>
      <c r="E8" s="100" t="n">
        <v>0</v>
      </c>
      <c r="F8" s="102" t="s">
        <v>470</v>
      </c>
    </row>
    <row r="70" customFormat="false" ht="25.5" hidden="false" customHeight="true" outlineLevel="0" collapsed="false">
      <c r="A70" s="103" t="s">
        <v>471</v>
      </c>
      <c r="B70" s="104" t="n">
        <v>66</v>
      </c>
      <c r="C70" s="104" t="s">
        <v>472</v>
      </c>
      <c r="D70" s="104" t="n">
        <v>6.4</v>
      </c>
      <c r="E70" s="104" t="s">
        <v>473</v>
      </c>
      <c r="F70" s="104" t="s">
        <v>474</v>
      </c>
    </row>
    <row r="72" customFormat="false" ht="15" hidden="false" customHeight="false" outlineLevel="0" collapsed="false">
      <c r="A72" s="105" t="s">
        <v>475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6" min="5" style="0" width="52"/>
  </cols>
  <sheetData>
    <row r="1" customFormat="false" ht="21.75" hidden="false" customHeight="true" outlineLevel="0" collapsed="false">
      <c r="A1" s="78" t="s">
        <v>476</v>
      </c>
      <c r="B1" s="78"/>
      <c r="C1" s="78"/>
      <c r="D1" s="78"/>
      <c r="E1" s="78"/>
      <c r="F1" s="78"/>
    </row>
    <row r="2" customFormat="false" ht="15" hidden="false" customHeight="false" outlineLevel="0" collapsed="false">
      <c r="A2" s="40" t="s">
        <v>477</v>
      </c>
      <c r="B2" s="40" t="s">
        <v>478</v>
      </c>
      <c r="C2" s="40" t="s">
        <v>9</v>
      </c>
      <c r="D2" s="40" t="s">
        <v>479</v>
      </c>
      <c r="E2" s="40" t="s">
        <v>480</v>
      </c>
      <c r="F2" s="40" t="s">
        <v>481</v>
      </c>
    </row>
    <row r="3" customFormat="false" ht="75" hidden="false" customHeight="true" outlineLevel="0" collapsed="false">
      <c r="A3" s="106" t="s">
        <v>482</v>
      </c>
      <c r="B3" s="107" t="s">
        <v>483</v>
      </c>
      <c r="C3" s="108" t="s">
        <v>484</v>
      </c>
      <c r="D3" s="109" t="s">
        <v>485</v>
      </c>
      <c r="E3" s="109" t="s">
        <v>486</v>
      </c>
      <c r="F3" s="110" t="s">
        <v>487</v>
      </c>
    </row>
    <row r="4" customFormat="false" ht="75" hidden="false" customHeight="true" outlineLevel="0" collapsed="false">
      <c r="A4" s="106" t="s">
        <v>488</v>
      </c>
      <c r="B4" s="107" t="s">
        <v>489</v>
      </c>
      <c r="C4" s="108" t="s">
        <v>484</v>
      </c>
      <c r="D4" s="109" t="s">
        <v>490</v>
      </c>
      <c r="E4" s="109" t="s">
        <v>491</v>
      </c>
      <c r="F4" s="110" t="s">
        <v>492</v>
      </c>
    </row>
    <row r="5" customFormat="false" ht="75" hidden="false" customHeight="true" outlineLevel="0" collapsed="false">
      <c r="A5" s="47" t="s">
        <v>493</v>
      </c>
      <c r="B5" s="48" t="s">
        <v>494</v>
      </c>
      <c r="C5" s="47" t="s">
        <v>495</v>
      </c>
      <c r="D5" s="111" t="s">
        <v>496</v>
      </c>
      <c r="E5" s="111" t="s">
        <v>497</v>
      </c>
      <c r="F5" s="112" t="s">
        <v>498</v>
      </c>
    </row>
    <row r="6" customFormat="false" ht="75" hidden="false" customHeight="true" outlineLevel="0" collapsed="false">
      <c r="A6" s="47" t="s">
        <v>499</v>
      </c>
      <c r="B6" s="48" t="s">
        <v>500</v>
      </c>
      <c r="C6" s="47" t="s">
        <v>495</v>
      </c>
      <c r="D6" s="111" t="s">
        <v>501</v>
      </c>
      <c r="E6" s="111" t="s">
        <v>502</v>
      </c>
      <c r="F6" s="112" t="s">
        <v>503</v>
      </c>
    </row>
    <row r="7" customFormat="false" ht="75" hidden="false" customHeight="true" outlineLevel="0" collapsed="false">
      <c r="A7" s="47" t="s">
        <v>504</v>
      </c>
      <c r="B7" s="48" t="s">
        <v>505</v>
      </c>
      <c r="C7" s="47" t="s">
        <v>495</v>
      </c>
      <c r="D7" s="111" t="s">
        <v>506</v>
      </c>
      <c r="E7" s="111" t="s">
        <v>507</v>
      </c>
      <c r="F7" s="112" t="s">
        <v>508</v>
      </c>
    </row>
    <row r="8" customFormat="false" ht="75" hidden="false" customHeight="true" outlineLevel="0" collapsed="false">
      <c r="A8" s="41" t="s">
        <v>509</v>
      </c>
      <c r="B8" s="42" t="s">
        <v>510</v>
      </c>
      <c r="C8" s="41" t="s">
        <v>511</v>
      </c>
      <c r="D8" s="113" t="s">
        <v>512</v>
      </c>
      <c r="E8" s="113" t="s">
        <v>513</v>
      </c>
      <c r="F8" s="114" t="s">
        <v>514</v>
      </c>
    </row>
    <row r="9" customFormat="false" ht="75" hidden="false" customHeight="true" outlineLevel="0" collapsed="false">
      <c r="A9" s="41" t="s">
        <v>515</v>
      </c>
      <c r="B9" s="42" t="s">
        <v>516</v>
      </c>
      <c r="C9" s="41" t="s">
        <v>511</v>
      </c>
      <c r="D9" s="113" t="s">
        <v>517</v>
      </c>
      <c r="E9" s="113" t="s">
        <v>518</v>
      </c>
      <c r="F9" s="114" t="s">
        <v>519</v>
      </c>
    </row>
    <row r="10" customFormat="false" ht="75" hidden="false" customHeight="true" outlineLevel="0" collapsed="false">
      <c r="A10" s="41" t="s">
        <v>520</v>
      </c>
      <c r="B10" s="42" t="s">
        <v>521</v>
      </c>
      <c r="C10" s="41" t="s">
        <v>511</v>
      </c>
      <c r="D10" s="113" t="s">
        <v>522</v>
      </c>
      <c r="E10" s="113" t="s">
        <v>523</v>
      </c>
      <c r="F10" s="114" t="s">
        <v>524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80"/>
    <col collapsed="false" customWidth="true" hidden="false" outlineLevel="0" max="5" min="5" style="0" width="14"/>
  </cols>
  <sheetData>
    <row r="1" customFormat="false" ht="21.75" hidden="false" customHeight="true" outlineLevel="0" collapsed="false">
      <c r="A1" s="78" t="s">
        <v>525</v>
      </c>
      <c r="B1" s="78"/>
      <c r="C1" s="78"/>
      <c r="D1" s="78"/>
      <c r="E1" s="78"/>
    </row>
    <row r="2" customFormat="false" ht="15" hidden="false" customHeight="false" outlineLevel="0" collapsed="false">
      <c r="A2" s="40" t="s">
        <v>526</v>
      </c>
      <c r="B2" s="40" t="s">
        <v>478</v>
      </c>
      <c r="C2" s="40" t="s">
        <v>527</v>
      </c>
      <c r="D2" s="40" t="s">
        <v>528</v>
      </c>
      <c r="E2" s="40" t="s">
        <v>529</v>
      </c>
    </row>
    <row r="3" customFormat="false" ht="54.75" hidden="false" customHeight="true" outlineLevel="0" collapsed="false">
      <c r="A3" s="115" t="s">
        <v>530</v>
      </c>
      <c r="B3" s="79" t="s">
        <v>531</v>
      </c>
      <c r="C3" s="116" t="s">
        <v>532</v>
      </c>
      <c r="D3" s="114" t="s">
        <v>533</v>
      </c>
      <c r="E3" s="80" t="s">
        <v>292</v>
      </c>
    </row>
    <row r="4" customFormat="false" ht="54.75" hidden="false" customHeight="true" outlineLevel="0" collapsed="false">
      <c r="A4" s="117" t="s">
        <v>534</v>
      </c>
      <c r="B4" s="83" t="s">
        <v>535</v>
      </c>
      <c r="C4" s="118" t="s">
        <v>536</v>
      </c>
      <c r="D4" s="112" t="s">
        <v>537</v>
      </c>
      <c r="E4" s="84" t="s">
        <v>356</v>
      </c>
    </row>
    <row r="5" customFormat="false" ht="54.75" hidden="false" customHeight="true" outlineLevel="0" collapsed="false">
      <c r="A5" s="119" t="s">
        <v>538</v>
      </c>
      <c r="B5" s="87" t="s">
        <v>539</v>
      </c>
      <c r="C5" s="120" t="s">
        <v>540</v>
      </c>
      <c r="D5" s="121" t="s">
        <v>541</v>
      </c>
      <c r="E5" s="88" t="s">
        <v>542</v>
      </c>
    </row>
    <row r="6" customFormat="false" ht="54.75" hidden="false" customHeight="true" outlineLevel="0" collapsed="false">
      <c r="A6" s="122" t="s">
        <v>543</v>
      </c>
      <c r="B6" s="91" t="s">
        <v>544</v>
      </c>
      <c r="C6" s="123" t="s">
        <v>536</v>
      </c>
      <c r="D6" s="124" t="s">
        <v>545</v>
      </c>
      <c r="E6" s="92" t="s">
        <v>283</v>
      </c>
    </row>
    <row r="7" customFormat="false" ht="54.75" hidden="false" customHeight="true" outlineLevel="0" collapsed="false">
      <c r="A7" s="125" t="s">
        <v>546</v>
      </c>
      <c r="B7" s="95" t="s">
        <v>547</v>
      </c>
      <c r="C7" s="126" t="s">
        <v>548</v>
      </c>
      <c r="D7" s="127" t="s">
        <v>549</v>
      </c>
      <c r="E7" s="96" t="s">
        <v>550</v>
      </c>
    </row>
    <row r="8" customFormat="false" ht="54.75" hidden="false" customHeight="true" outlineLevel="0" collapsed="false">
      <c r="A8" s="115" t="s">
        <v>551</v>
      </c>
      <c r="B8" s="79" t="s">
        <v>552</v>
      </c>
      <c r="C8" s="116" t="s">
        <v>540</v>
      </c>
      <c r="D8" s="114" t="s">
        <v>553</v>
      </c>
      <c r="E8" s="80" t="s">
        <v>554</v>
      </c>
    </row>
    <row r="9" customFormat="false" ht="54.75" hidden="false" customHeight="true" outlineLevel="0" collapsed="false">
      <c r="A9" s="117" t="s">
        <v>555</v>
      </c>
      <c r="B9" s="83" t="s">
        <v>556</v>
      </c>
      <c r="C9" s="118" t="s">
        <v>557</v>
      </c>
      <c r="D9" s="112" t="s">
        <v>558</v>
      </c>
      <c r="E9" s="84" t="s">
        <v>559</v>
      </c>
    </row>
    <row r="10" customFormat="false" ht="54.75" hidden="false" customHeight="true" outlineLevel="0" collapsed="false">
      <c r="A10" s="119" t="s">
        <v>560</v>
      </c>
      <c r="B10" s="87" t="s">
        <v>561</v>
      </c>
      <c r="C10" s="120" t="s">
        <v>536</v>
      </c>
      <c r="D10" s="121" t="s">
        <v>562</v>
      </c>
      <c r="E10" s="88" t="s">
        <v>563</v>
      </c>
    </row>
    <row r="11" customFormat="false" ht="54.75" hidden="false" customHeight="true" outlineLevel="0" collapsed="false">
      <c r="A11" s="122" t="s">
        <v>564</v>
      </c>
      <c r="B11" s="91" t="s">
        <v>565</v>
      </c>
      <c r="C11" s="123" t="s">
        <v>566</v>
      </c>
      <c r="D11" s="124" t="s">
        <v>567</v>
      </c>
      <c r="E11" s="92" t="s">
        <v>568</v>
      </c>
    </row>
    <row r="12" customFormat="false" ht="54.75" hidden="false" customHeight="true" outlineLevel="0" collapsed="false">
      <c r="A12" s="125" t="s">
        <v>569</v>
      </c>
      <c r="B12" s="95" t="s">
        <v>570</v>
      </c>
      <c r="C12" s="126" t="s">
        <v>571</v>
      </c>
      <c r="D12" s="127" t="s">
        <v>572</v>
      </c>
      <c r="E12" s="96" t="s">
        <v>573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55"/>
  </cols>
  <sheetData>
    <row r="1" customFormat="false" ht="21.75" hidden="false" customHeight="true" outlineLevel="0" collapsed="false">
      <c r="A1" s="78" t="s">
        <v>574</v>
      </c>
      <c r="B1" s="78"/>
      <c r="C1" s="78"/>
      <c r="D1" s="78"/>
      <c r="E1" s="78"/>
    </row>
    <row r="2" customFormat="false" ht="15" hidden="false" customHeight="false" outlineLevel="0" collapsed="false">
      <c r="A2" s="40" t="s">
        <v>575</v>
      </c>
      <c r="B2" s="40" t="s">
        <v>3</v>
      </c>
      <c r="C2" s="40" t="s">
        <v>576</v>
      </c>
      <c r="D2" s="40" t="s">
        <v>577</v>
      </c>
      <c r="E2" s="40" t="s">
        <v>578</v>
      </c>
    </row>
    <row r="3" customFormat="false" ht="39.75" hidden="false" customHeight="true" outlineLevel="0" collapsed="false">
      <c r="A3" s="80"/>
      <c r="B3" s="79" t="s">
        <v>13</v>
      </c>
      <c r="C3" s="116" t="s">
        <v>579</v>
      </c>
      <c r="D3" s="80" t="s">
        <v>580</v>
      </c>
      <c r="E3" s="82" t="s">
        <v>581</v>
      </c>
    </row>
    <row r="4" customFormat="false" ht="39.75" hidden="false" customHeight="true" outlineLevel="0" collapsed="false">
      <c r="A4" s="84"/>
      <c r="B4" s="83" t="s">
        <v>21</v>
      </c>
      <c r="C4" s="118" t="s">
        <v>582</v>
      </c>
      <c r="D4" s="84" t="s">
        <v>583</v>
      </c>
      <c r="E4" s="86" t="s">
        <v>584</v>
      </c>
    </row>
    <row r="5" customFormat="false" ht="39.75" hidden="false" customHeight="true" outlineLevel="0" collapsed="false">
      <c r="A5" s="88"/>
      <c r="B5" s="87" t="s">
        <v>38</v>
      </c>
      <c r="C5" s="120" t="s">
        <v>585</v>
      </c>
      <c r="D5" s="88" t="s">
        <v>586</v>
      </c>
      <c r="E5" s="90" t="s">
        <v>587</v>
      </c>
    </row>
    <row r="6" customFormat="false" ht="39.75" hidden="false" customHeight="true" outlineLevel="0" collapsed="false">
      <c r="A6" s="92"/>
      <c r="B6" s="91" t="s">
        <v>32</v>
      </c>
      <c r="C6" s="123" t="s">
        <v>588</v>
      </c>
      <c r="D6" s="92" t="s">
        <v>589</v>
      </c>
      <c r="E6" s="94" t="s">
        <v>590</v>
      </c>
    </row>
    <row r="7" customFormat="false" ht="39.75" hidden="false" customHeight="true" outlineLevel="0" collapsed="false">
      <c r="A7" s="96"/>
      <c r="B7" s="95" t="s">
        <v>73</v>
      </c>
      <c r="C7" s="126" t="s">
        <v>591</v>
      </c>
      <c r="D7" s="96" t="s">
        <v>592</v>
      </c>
      <c r="E7" s="98" t="s">
        <v>593</v>
      </c>
    </row>
    <row r="8" customFormat="false" ht="39.75" hidden="false" customHeight="true" outlineLevel="0" collapsed="false">
      <c r="A8" s="100"/>
      <c r="B8" s="99" t="s">
        <v>175</v>
      </c>
      <c r="C8" s="128" t="s">
        <v>594</v>
      </c>
      <c r="D8" s="100" t="s">
        <v>595</v>
      </c>
      <c r="E8" s="102" t="s">
        <v>596</v>
      </c>
    </row>
    <row r="10" customFormat="false" ht="19.5" hidden="false" customHeight="true" outlineLevel="0" collapsed="false">
      <c r="A10" s="129" t="s">
        <v>597</v>
      </c>
      <c r="B10" s="129"/>
      <c r="C10" s="129"/>
      <c r="D10" s="129"/>
      <c r="E10" s="129"/>
    </row>
  </sheetData>
  <mergeCells count="2">
    <mergeCell ref="A1:E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2026-04-23T23:15:14Z</dcterms:created>
  <dc:creator>openpyxl</dc:creator>
  <dc:description/>
  <dc:language>en-US</dc:language>
  <cp:lastModifiedBy/>
  <dcterms:modified xsi:type="dcterms:W3CDTF">2026-04-23T23:15:14Z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